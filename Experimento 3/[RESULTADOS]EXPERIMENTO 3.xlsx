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play\Documents\git\efs_ahp\Experimento 3\"/>
    </mc:Choice>
  </mc:AlternateContent>
  <xr:revisionPtr revIDLastSave="0" documentId="13_ncr:1_{C1433ACA-5800-417B-A38E-796CFA567D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" sheetId="1" r:id="rId1"/>
  </sheets>
  <definedNames>
    <definedName name="_xlnm._FilterDatabase" localSheetId="0" hidden="1">DADOS!$A$1:$K$92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1" l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K77" i="1"/>
  <c r="J77" i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K47" i="1"/>
  <c r="J47" i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K34" i="1"/>
  <c r="J34" i="1"/>
  <c r="J33" i="1"/>
  <c r="K33" i="1" s="1"/>
  <c r="J32" i="1"/>
  <c r="K32" i="1" s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<sst xmlns="http://schemas.openxmlformats.org/spreadsheetml/2006/main" count="284" uniqueCount="43">
  <si>
    <t>grupo_testes</t>
  </si>
  <si>
    <t>algoritmo</t>
  </si>
  <si>
    <t>algoritmos_evolutivos</t>
  </si>
  <si>
    <t>EFS_AHP_RANDOM_GPT</t>
  </si>
  <si>
    <t>OUTRA_TESE</t>
  </si>
  <si>
    <t>RANDOM_SEARCH</t>
  </si>
  <si>
    <t>algoritmos_redutores_dimensionalidade</t>
  </si>
  <si>
    <t>PCA</t>
  </si>
  <si>
    <t>TSNE</t>
  </si>
  <si>
    <t>UMAP</t>
  </si>
  <si>
    <t>algoritmos_selecionadores</t>
  </si>
  <si>
    <t>CORRELATION</t>
  </si>
  <si>
    <t>LASSO</t>
  </si>
  <si>
    <t>RF_FEATURE_IMPORTANCE</t>
  </si>
  <si>
    <t>features</t>
  </si>
  <si>
    <t>selected_features</t>
  </si>
  <si>
    <t>Accuracy</t>
  </si>
  <si>
    <t>Precision</t>
  </si>
  <si>
    <t>Recall</t>
  </si>
  <si>
    <t>F1_Score</t>
  </si>
  <si>
    <t>AUC_ROC</t>
  </si>
  <si>
    <t>Training_Time_Minutes</t>
  </si>
  <si>
    <t>Traning_time_days</t>
  </si>
  <si>
    <t>[179, 174, 176, 178, 173]</t>
  </si>
  <si>
    <t>[132, 120, 114, 119, 124, 125, 115, 113, 131, 129, 127, 117, 123, 130]</t>
  </si>
  <si>
    <t>[179, 175, 178, 174, 173, 176]</t>
  </si>
  <si>
    <t>[117, 120, 114, 113, 122, 130, 127, 132, 118, 116, 112, 119, 125, 124, 121, 115]</t>
  </si>
  <si>
    <t>[399, 417, 340, 404, 296]</t>
  </si>
  <si>
    <t>[116, 115, 114, 120, 112, 126, 131, 124, 132, 127, 117, 121]</t>
  </si>
  <si>
    <t>[121, 132, 124, 120, 113, 123, 129, 118, 128, 130, 126, 131, 116, 112, 117, 125, 115]</t>
  </si>
  <si>
    <t>[173, 176, 175, 177, 179, 178, 174]</t>
  </si>
  <si>
    <t>[173, 178, 176, 179]</t>
  </si>
  <si>
    <t>[173, 175, 174, 178, 179, 176, 177]</t>
  </si>
  <si>
    <t>[341; 271; 408; 81; 231; 100; 431; 169; 315; 316; 57; 237; 376; 358; 407; 278; 419; 247; 342; 313; 182; 340; 249; 432; 114; 196; 225; 303; 8; 413; 222; 173; 108; 219; 245; 351; 155; 232; 420; 251; 308; 379; 227; 297; 401; 77; 213; 43; 136; 29; 106; 69; 314; 387; 26; 15; 365; 334; 364; 103; 354; 350; 305; 214; 412; 32; 384; 284; 347; 88; 19; 369; 192; 255; 164; 126; 309; 250; 6; 402; 332; 151; 265; 286; 282; 11; 93; 109; 145; 157; 246; 17; 296; 167; 127; 239; 197; 217; 416; 273; 21; 310; 370; 279; 31; 405; 1; 344; 230; 325; 134; 37; 211; 434; 9; 290; 353; 72; 18; 375; 403; 300; 102; 253; 301; 346; 193; 204; 396; 50; 243; 410; 146; 295; 210; 404; 261; 65; 263; 124; 62; 175; 101; 283; 73; 181; 34; 264; 331; 294; 234; 97; 183; 138; 139; 220; 150; 320; 221; 120; 267; 162; 302; 324; 319; 277; 128; 63; 123; 95; 338; 348; 59; 335; 287; 40; 36; 188; 171; 98; 374; 24; 130; 435; 172; 135; 378; 82; 110; 66; 44; 337; 208; 256; 161; 2; 356; 349; 87; 186; 84; 216; 117; 195; 433; 422; 388; 125; 371; 339; 235; 70; 428; 177; 269; 318; 178; 293; 322; 355; 386; 281; 159; 0; 133; 266; 429; 306; 104; 61; 262; 41; 202; 383; 373; 209; 12; 215; 257; 203; 4; 85; 184; 94; 49; 30; 390; 207; 56; 86; 176; 299; 406; 185; 25; 328; 289; 14; 190; 333; 228; 292; 389; 58; 75; 48; 187; 285; 141; 23; 142; 5; 280; 343; 425; 400; 421; 417; 96; 168; 10; 149; 224; 53; 366; 132; 360; 268; 80; 323; 38; 67; 51; 275; 380; 205; 424; 55; 409; 415; 179; 236; 398; 274; 298; 199; 46; 362; 3; 218; 16; 352; 229; 427; 160; 363; 392; 47; 418; 33; 382; 89; 317; 321; 92; 276; 28; 76; 357; 393; 131; 258; 381; 158; 79; 241; 121; 194; 174; 119]</t>
  </si>
  <si>
    <t>[431; 368; 183; 232; 184; 408; 216; 64; 234; 154; 90; 89; 358; 375; 179; 174; 286; 362; 270; 246; 253; 63; 316; 260; 266; 263; 170; 130; 320; 159; 25; 9; 114; 105; 436; 104; 249; 383; 109; 225; 144; 430; 119; 128; 106; 26; 212; 240; 188; 356; 407; 189; 301; 185; 32; 254; 228; 14; 324; 242; 258; 29; 331; 181; 287; 207; 308; 203; 353; 8; 75; 319; 284; 45; 299; 337; 121; 47; 275; 43; 330; 343; 153; 292; 27; 289; 113; 140; 341; 79; 348; 20; 265; 340; 281; 361; 243; 315; 205; 95; 394; 93; 220; 317; 187; 293; 200; 390; 422; 133; 309; 24; 310; 434; 230; 209; 382; 193; 384; 412; 35; 365; 96; 134; 97; 87; 425; 279; 423; 210; 333; 271; 112; 162; 307; 103; 3; 70; 313; 322; 285; 7; 169; 99; 426; 421; 94; 244; 433; 369; 248; 163; 357; 349; 381; 359; 416; 290; 282; 360; 16; 198; 41; 273; 219; 326; 378; 186; 191; 339; 132; 129; 296; 344; 332; 65; 264; 71; 166; 50; 19; 411; 345; 403; 138; 427; 256; 208; 164; 303; 53; 60; 413; 321; 23; 370; 241; 38; 268; 172; 291; 80; 402; 415; 195; 156; 304; 385; 261; 388; 424; 118; 419; 52; 116; 277; 161; 149; 283; 4; 62; 40; 120; 124; 85; 312; 2; 342; 420; 250; 367; 406; 364; 197; 215; 59; 36; 251; 84; 83; 117; 56; 269; 417; 404; 239; 276; 51; 73; 194; 139; 123; 167; 414; 314; 229; 405; 13; 267; 72; 102; 226; 329; 147; 338; 350; 39; 354; 150; 318; 92; 190; 334; 374; 297; 305; 168; 398; 111; 274; 173; 302; 259; 223; 61; 101; 100; 363; 176; 235; 131; 12; 237; 206; 328; 55; 247; 66; 68; 355; 1; 295; 211; 409; 5; 17; 392; 257; 126]</t>
  </si>
  <si>
    <t>[357; 269; 116; 131; 324; 305]</t>
  </si>
  <si>
    <t>[418; 366; 64; 264; 336; 62; 17; 356; 181; 424; 79; 314; 0; 165; 348; 409; 413; 185; 55; 88; 328; 18; 258; 76; 363; 156; 69; 237; 197; 100; 149; 112; 54; 103; 150; 271; 386; 370; 320; 364; 109; 371; 238; 317; 169; 81; 282; 49; 137; 243; 25; 111; 182; 174; 159; 262; 253; 138; 127; 292; 339; 435; 126; 31; 274; 128; 104; 400; 416; 331; 184; 12; 153; 214; 333; 249; 246; 86; 275; 396; 365; 354; 276; 183; 401; 48; 414; 285; 349; 70; 28; 147; 358; 420; 145; 265; 106; 98; 278; 433; 136; 32; 388; 429; 279; 257; 30; 170; 422; 247; 194; 403; 57; 122; 338; 390; 232; 177; 250; 10; 68; 189; 46; 129; 171; 260; 220; 306; 167; 231; 326; 308; 321; 36; 168; 154; 277; 241; 61; 21; 284; 151; 158; 230; 395; 345; 132; 294; 161; 204; 80]</t>
  </si>
  <si>
    <t>[421; 395; 292; 226]</t>
  </si>
  <si>
    <t>[304; 418; 374; 91; 11; 405; 139; 237; 384; 293; 131; 132; 292; 377; 298; 218; 199; 58; 30; 396; 86; 284; 123; 7; 1; 85; 161; 342; 419; 174; 359; 197; 4; 252; 291; 283; 409; 400; 67; 205; 263; 162; 35; 172; 129; 130; 289; 319; 137; 247; 168; 282; 215; 79; 395; 171; 99; 410; 14; 285; 138; 46; 232; 371; 239; 327; 94; 278; 370; 416; 48; 210; 6; 432; 102; 295; 202; 414; 146; 13; 361; 394; 403; 44; 388; 220; 265; 379; 339; 154; 98; 84; 169; 118; 348; 212; 286; 34; 62; 193; 104; 203; 126; 413; 268; 33; 323; 159; 299; 320; 38; 224; 269; 41; 391; 184; 241; 246; 273; 389; 230; 235; 325; 336; 223; 74; 363; 73; 422; 181; 256; 314; 103; 275; 95; 36; 303; 315; 248; 217; 408; 352; 60; 89; 309]</t>
  </si>
  <si>
    <t>[3; 4; 8; 9; 10; 12; 13; 14; 15; 16; 18; 35; 36; 38; 42; 44; 45; 47; 48; 49; 51; 52; 53; 56; 57; 59; 60; 64; 65; 70; 73; 74; 76; 81; 82; 89; 93; 97; 100; 102; 103; 112; 118; 134; 141; 142; 173; 174; 181; 186; 187; 188; 192; 193; 197; 199; 202; 211; 216; 217; 218; 231; 232; 234; 238; 239; 241; 243; 245; 263; 264; 265; 266; 268; 269; 270; 272; 287; 289; 290; 291; 307; 326; 328; 332; 348; 349; 351; 352; 444]</t>
  </si>
  <si>
    <t>[1; 8; 10; 11; 12; 13; 14; 15; 16; 17; 38; 45; 54; 55; 56; 58; 59; 60; 66; 78; 79; 88; 89; 90; 91; 92; 93; 94; 95; 96; 97; 98; 99; 100; 104; 106; 108; 112; 133; 137; 173; 174; 176; 181; 185; 186; 187; 189; 196; 198; 200; 201; 202; 203; 210; 212; 214; 218; 231; 232; 233; 234; 235; 241; 243; 245; 263; 265; 267; 270; 285; 286; 290; 291; 292; 305; 306; 307; 308; 309; 310; 311; 328; 329; 330; 331; 346; 347; 348; 351; 441; 442; 443; 444; 458]</t>
  </si>
  <si>
    <t>[1; 2; 4; 7; 8; 9; 11; 12; 14; 16; 17; 35; 36; 38; 42; 44; 45; 46; 48; 51; 57; 58; 59; 65; 68; 69; 70; 71; 73; 76; 78; 87; 88; 89; 90; 92; 93; 95; 102; 105; 106; 115; 133; 134; 137; 138; 174; 181; 192; 193; 196; 198; 199; 201; 202; 208; 209; 212; 214; 215; 216; 232; 236; 237; 240; 241; 242; 243; 244; 261; 262; 264; 265; 267; 269; 270; 271; 272; 286; 289; 305; 306; 308; 325; 326; 330; 331; 332; 345; 346; 347; 351; 441; 443; 444]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</si>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</sst>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_ "/>
  </numFmts>
  <fonts count="2">
    <font>
      <sz val="10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18" sqref="F18"/>
    </sheetView>
  </sheetViews>
  <sheetFormatPr defaultColWidth="9.09765625" defaultRowHeight="13"/>
  <cols>
    <col min="1" max="1" width="23.296875" customWidth="1"/>
    <col min="2" max="2" width="21.296875" customWidth="1"/>
    <col min="4" max="4" width="14.3984375" customWidth="1"/>
    <col min="5" max="9" width="12.8984375"/>
    <col min="10" max="11" width="21.296875" customWidth="1"/>
  </cols>
  <sheetData>
    <row r="1" spans="1:11">
      <c r="A1" t="s">
        <v>1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3</v>
      </c>
      <c r="B2" t="s">
        <v>2</v>
      </c>
      <c r="C2">
        <v>5</v>
      </c>
      <c r="D2" t="s">
        <v>23</v>
      </c>
      <c r="E2">
        <v>0.9</v>
      </c>
      <c r="F2">
        <v>0.98764342453662801</v>
      </c>
      <c r="G2">
        <v>0.898795180722891</v>
      </c>
      <c r="H2">
        <v>0.94112699747687101</v>
      </c>
      <c r="I2">
        <v>0.96675216997020297</v>
      </c>
      <c r="J2">
        <v>39.968840334866499</v>
      </c>
      <c r="K2">
        <f>J2/60/24</f>
        <v>2.7756139121435069E-2</v>
      </c>
    </row>
    <row r="3" spans="1:11">
      <c r="A3" t="s">
        <v>3</v>
      </c>
      <c r="B3" t="s">
        <v>2</v>
      </c>
      <c r="C3">
        <v>14</v>
      </c>
      <c r="D3" t="s">
        <v>24</v>
      </c>
      <c r="E3">
        <v>0.90500000000000003</v>
      </c>
      <c r="F3">
        <v>0.986865148861646</v>
      </c>
      <c r="G3">
        <v>0.90522088353413599</v>
      </c>
      <c r="H3">
        <v>0.94428152492668604</v>
      </c>
      <c r="I3">
        <v>0.96780671071382296</v>
      </c>
      <c r="J3">
        <v>54.525344167743498</v>
      </c>
      <c r="K3">
        <f t="shared" ref="K3:K34" si="0">J3/60/24</f>
        <v>3.786482233871076E-2</v>
      </c>
    </row>
    <row r="4" spans="1:11">
      <c r="A4" t="s">
        <v>3</v>
      </c>
      <c r="B4" t="s">
        <v>2</v>
      </c>
      <c r="C4">
        <v>6</v>
      </c>
      <c r="D4" t="s">
        <v>25</v>
      </c>
      <c r="E4">
        <v>0.89857142857142802</v>
      </c>
      <c r="F4">
        <v>0.98590308370044</v>
      </c>
      <c r="G4">
        <v>0.898795180722891</v>
      </c>
      <c r="H4">
        <v>0.94033613445378095</v>
      </c>
      <c r="I4">
        <v>0.965296022800881</v>
      </c>
      <c r="J4">
        <v>48.791886986912999</v>
      </c>
      <c r="K4">
        <f t="shared" si="0"/>
        <v>3.3883254852022919E-2</v>
      </c>
    </row>
    <row r="5" spans="1:11">
      <c r="A5" t="s">
        <v>3</v>
      </c>
      <c r="B5" t="s">
        <v>2</v>
      </c>
      <c r="C5">
        <v>16</v>
      </c>
      <c r="D5" t="s">
        <v>26</v>
      </c>
      <c r="E5">
        <v>0.90785714285714203</v>
      </c>
      <c r="F5">
        <v>0.99206349206349198</v>
      </c>
      <c r="G5">
        <v>0.90361445783132499</v>
      </c>
      <c r="H5">
        <v>0.94577553593946995</v>
      </c>
      <c r="I5">
        <v>0.96918771861640096</v>
      </c>
      <c r="J5">
        <v>46.705309700321301</v>
      </c>
      <c r="K5">
        <f t="shared" si="0"/>
        <v>3.2434242847445345E-2</v>
      </c>
    </row>
    <row r="6" spans="1:11">
      <c r="A6" t="s">
        <v>3</v>
      </c>
      <c r="B6" t="s">
        <v>2</v>
      </c>
      <c r="C6">
        <v>5</v>
      </c>
      <c r="D6" t="s">
        <v>27</v>
      </c>
      <c r="E6">
        <v>0.91357142857142803</v>
      </c>
      <c r="F6">
        <v>0.98784722222222199</v>
      </c>
      <c r="G6">
        <v>0.91405622489959804</v>
      </c>
      <c r="H6">
        <v>0.94952023362536497</v>
      </c>
      <c r="I6">
        <v>0.97258453167508696</v>
      </c>
      <c r="J6">
        <v>57.790646553039501</v>
      </c>
      <c r="K6">
        <f t="shared" si="0"/>
        <v>4.0132393439610767E-2</v>
      </c>
    </row>
    <row r="7" spans="1:11">
      <c r="A7" t="s">
        <v>3</v>
      </c>
      <c r="B7" t="s">
        <v>2</v>
      </c>
      <c r="C7">
        <v>12</v>
      </c>
      <c r="D7" t="s">
        <v>28</v>
      </c>
      <c r="E7">
        <v>0.90071428571428502</v>
      </c>
      <c r="F7">
        <v>0.992869875222816</v>
      </c>
      <c r="G7">
        <v>0.89477911646586294</v>
      </c>
      <c r="H7">
        <v>0.941275876637093</v>
      </c>
      <c r="I7">
        <v>0.96969037440082895</v>
      </c>
      <c r="J7">
        <v>44.608169461155697</v>
      </c>
      <c r="K7">
        <f t="shared" si="0"/>
        <v>3.0977895459135901E-2</v>
      </c>
    </row>
    <row r="8" spans="1:11">
      <c r="A8" t="s">
        <v>3</v>
      </c>
      <c r="B8" t="s">
        <v>2</v>
      </c>
      <c r="C8">
        <v>17</v>
      </c>
      <c r="D8" t="s">
        <v>29</v>
      </c>
      <c r="E8">
        <v>0.90428571428571403</v>
      </c>
      <c r="F8">
        <v>0.98942731277533003</v>
      </c>
      <c r="G8">
        <v>0.90200803212851399</v>
      </c>
      <c r="H8">
        <v>0.94369747899159595</v>
      </c>
      <c r="I8">
        <v>0.96982510687912904</v>
      </c>
      <c r="J8">
        <v>53.805084142598901</v>
      </c>
      <c r="K8">
        <f t="shared" si="0"/>
        <v>3.7364641765693679E-2</v>
      </c>
    </row>
    <row r="9" spans="1:11">
      <c r="A9" t="s">
        <v>3</v>
      </c>
      <c r="B9" t="s">
        <v>2</v>
      </c>
      <c r="C9">
        <v>7</v>
      </c>
      <c r="D9" t="s">
        <v>30</v>
      </c>
      <c r="E9">
        <v>0.89857142857142802</v>
      </c>
      <c r="F9">
        <v>0.98762157382847005</v>
      </c>
      <c r="G9">
        <v>0.89718875502008</v>
      </c>
      <c r="H9">
        <v>0.94023569023568998</v>
      </c>
      <c r="I9">
        <v>0.96442285270112704</v>
      </c>
      <c r="J9">
        <v>46.749055997745401</v>
      </c>
      <c r="K9">
        <f t="shared" si="0"/>
        <v>3.2464622220656526E-2</v>
      </c>
    </row>
    <row r="10" spans="1:11">
      <c r="A10" t="s">
        <v>3</v>
      </c>
      <c r="B10" t="s">
        <v>2</v>
      </c>
      <c r="C10">
        <v>4</v>
      </c>
      <c r="D10" t="s">
        <v>31</v>
      </c>
      <c r="E10">
        <v>0.91</v>
      </c>
      <c r="F10">
        <v>0.98864628820960698</v>
      </c>
      <c r="G10">
        <v>0.90923694779116404</v>
      </c>
      <c r="H10">
        <v>0.94728033472803297</v>
      </c>
      <c r="I10">
        <v>0.96605000647752204</v>
      </c>
      <c r="J10">
        <v>47.147326340546499</v>
      </c>
      <c r="K10">
        <f t="shared" si="0"/>
        <v>3.2741198847601731E-2</v>
      </c>
    </row>
    <row r="11" spans="1:11">
      <c r="A11" t="s">
        <v>3</v>
      </c>
      <c r="B11" t="s">
        <v>2</v>
      </c>
      <c r="C11">
        <v>7</v>
      </c>
      <c r="D11" t="s">
        <v>32</v>
      </c>
      <c r="E11">
        <v>0.89571428571428502</v>
      </c>
      <c r="F11">
        <v>0.98757763975155199</v>
      </c>
      <c r="G11">
        <v>0.893975903614457</v>
      </c>
      <c r="H11">
        <v>0.93844856661045495</v>
      </c>
      <c r="I11">
        <v>0.96441507967353202</v>
      </c>
      <c r="J11">
        <v>51.8999722949019</v>
      </c>
      <c r="K11">
        <f t="shared" si="0"/>
        <v>3.6041647427015204E-2</v>
      </c>
    </row>
    <row r="12" spans="1:11">
      <c r="A12" t="s">
        <v>5</v>
      </c>
      <c r="B12" t="s">
        <v>2</v>
      </c>
      <c r="C12">
        <v>340</v>
      </c>
      <c r="D12" t="s">
        <v>33</v>
      </c>
      <c r="E12">
        <v>0.90428571428571403</v>
      </c>
      <c r="F12">
        <v>0.98648648648648596</v>
      </c>
      <c r="G12">
        <v>0.90197693574958804</v>
      </c>
      <c r="H12">
        <v>0.94234079173838203</v>
      </c>
      <c r="I12">
        <v>0.96444482825813505</v>
      </c>
      <c r="J12">
        <v>498.719770790219</v>
      </c>
      <c r="K12">
        <f t="shared" si="0"/>
        <v>0.3463331741598743</v>
      </c>
    </row>
    <row r="13" spans="1:11">
      <c r="A13" t="s">
        <v>5</v>
      </c>
      <c r="B13" t="s">
        <v>2</v>
      </c>
      <c r="C13">
        <v>309</v>
      </c>
      <c r="D13" t="s">
        <v>34</v>
      </c>
      <c r="E13">
        <v>0.90714285714285703</v>
      </c>
      <c r="F13">
        <v>0.98741007194244601</v>
      </c>
      <c r="G13">
        <v>0.90444810543657295</v>
      </c>
      <c r="H13">
        <v>0.94411006018916599</v>
      </c>
      <c r="I13">
        <v>0.96739207454252296</v>
      </c>
      <c r="J13">
        <v>468.01365710593501</v>
      </c>
      <c r="K13">
        <f t="shared" si="0"/>
        <v>0.32500948410134373</v>
      </c>
    </row>
    <row r="14" spans="1:11">
      <c r="A14" t="s">
        <v>5</v>
      </c>
      <c r="B14" t="s">
        <v>2</v>
      </c>
      <c r="C14">
        <v>6</v>
      </c>
      <c r="D14" t="s">
        <v>35</v>
      </c>
      <c r="E14">
        <v>0.878571428571428</v>
      </c>
      <c r="F14">
        <v>0.99060150375939804</v>
      </c>
      <c r="G14">
        <v>0.86820428336079003</v>
      </c>
      <c r="H14">
        <v>0.92537313432835799</v>
      </c>
      <c r="I14">
        <v>0.96289259711962605</v>
      </c>
      <c r="J14">
        <v>432.08766077015702</v>
      </c>
      <c r="K14">
        <f t="shared" si="0"/>
        <v>0.30006087553483124</v>
      </c>
    </row>
    <row r="15" spans="1:11">
      <c r="A15" t="s">
        <v>5</v>
      </c>
      <c r="B15" t="s">
        <v>2</v>
      </c>
      <c r="C15">
        <v>151</v>
      </c>
      <c r="D15" t="s">
        <v>36</v>
      </c>
      <c r="E15">
        <v>0.9</v>
      </c>
      <c r="F15">
        <v>0.98378378378378295</v>
      </c>
      <c r="G15">
        <v>0.89950576606260302</v>
      </c>
      <c r="H15">
        <v>0.93975903614457801</v>
      </c>
      <c r="I15">
        <v>0.96186072877362605</v>
      </c>
      <c r="J15">
        <v>487.30141194017</v>
      </c>
      <c r="K15">
        <f t="shared" si="0"/>
        <v>0.33840375829178471</v>
      </c>
    </row>
    <row r="16" spans="1:11">
      <c r="A16" t="s">
        <v>5</v>
      </c>
      <c r="B16" t="s">
        <v>2</v>
      </c>
      <c r="C16">
        <v>4</v>
      </c>
      <c r="D16" t="s">
        <v>37</v>
      </c>
      <c r="E16">
        <v>0.91285714285714203</v>
      </c>
      <c r="F16">
        <v>0.98837209302325502</v>
      </c>
      <c r="G16">
        <v>0.91021416803953803</v>
      </c>
      <c r="H16">
        <v>0.94768439108061697</v>
      </c>
      <c r="I16">
        <v>0.97179855095569601</v>
      </c>
      <c r="J16">
        <v>506.20697135323798</v>
      </c>
      <c r="K16">
        <f t="shared" si="0"/>
        <v>0.35153261899530414</v>
      </c>
    </row>
    <row r="17" spans="1:11">
      <c r="A17" t="s">
        <v>5</v>
      </c>
      <c r="B17" t="s">
        <v>2</v>
      </c>
      <c r="C17">
        <v>145</v>
      </c>
      <c r="D17" t="s">
        <v>38</v>
      </c>
      <c r="E17">
        <v>0.90857142857142803</v>
      </c>
      <c r="F17">
        <v>0.98482142857142796</v>
      </c>
      <c r="G17">
        <v>0.90856672158154805</v>
      </c>
      <c r="H17">
        <v>0.94515852613538898</v>
      </c>
      <c r="I17">
        <v>0.96458432977272301</v>
      </c>
      <c r="J17">
        <v>465.43323435224897</v>
      </c>
      <c r="K17">
        <f t="shared" si="0"/>
        <v>0.32321752385572844</v>
      </c>
    </row>
    <row r="18" spans="1:11">
      <c r="A18" t="s">
        <v>5</v>
      </c>
      <c r="B18" t="s">
        <v>2</v>
      </c>
      <c r="C18">
        <v>4</v>
      </c>
      <c r="D18" t="s">
        <v>37</v>
      </c>
      <c r="E18">
        <v>0.91285714285714203</v>
      </c>
      <c r="F18" s="3">
        <v>0.98837209302325502</v>
      </c>
      <c r="G18">
        <v>0.91021416803953803</v>
      </c>
      <c r="H18">
        <v>0.94768439108061697</v>
      </c>
      <c r="I18">
        <v>0.97179855095569601</v>
      </c>
      <c r="J18">
        <v>516.51684861999195</v>
      </c>
      <c r="K18">
        <f t="shared" si="0"/>
        <v>0.35869225598610549</v>
      </c>
    </row>
    <row r="19" spans="1:11">
      <c r="A19" t="s">
        <v>5</v>
      </c>
      <c r="B19" t="s">
        <v>2</v>
      </c>
      <c r="C19">
        <v>340</v>
      </c>
      <c r="D19" t="s">
        <v>33</v>
      </c>
      <c r="E19">
        <v>0.90428571428571403</v>
      </c>
      <c r="F19">
        <v>0.98648648648648596</v>
      </c>
      <c r="G19">
        <v>0.90197693574958804</v>
      </c>
      <c r="H19">
        <v>0.94234079173838203</v>
      </c>
      <c r="I19">
        <v>0.96444482825813505</v>
      </c>
      <c r="J19">
        <v>498.719770790219</v>
      </c>
      <c r="K19">
        <f t="shared" si="0"/>
        <v>0.3463331741598743</v>
      </c>
    </row>
    <row r="20" spans="1:11">
      <c r="A20" t="s">
        <v>5</v>
      </c>
      <c r="B20" t="s">
        <v>2</v>
      </c>
      <c r="C20">
        <v>309</v>
      </c>
      <c r="D20" t="s">
        <v>34</v>
      </c>
      <c r="E20">
        <v>0.90714285714285703</v>
      </c>
      <c r="F20">
        <v>0.98741007194244601</v>
      </c>
      <c r="G20">
        <v>0.90444810543657295</v>
      </c>
      <c r="H20">
        <v>0.94411006018916599</v>
      </c>
      <c r="I20">
        <v>0.96739207454252296</v>
      </c>
      <c r="J20">
        <v>468.01365710593501</v>
      </c>
      <c r="K20">
        <f t="shared" si="0"/>
        <v>0.32500948410134373</v>
      </c>
    </row>
    <row r="21" spans="1:11">
      <c r="A21" t="s">
        <v>5</v>
      </c>
      <c r="B21" t="s">
        <v>2</v>
      </c>
      <c r="C21">
        <v>6</v>
      </c>
      <c r="D21" t="s">
        <v>35</v>
      </c>
      <c r="E21">
        <v>0.878571428571428</v>
      </c>
      <c r="F21">
        <v>0.99060150375939804</v>
      </c>
      <c r="G21">
        <v>0.86820428336079003</v>
      </c>
      <c r="H21">
        <v>0.92537313432835799</v>
      </c>
      <c r="I21">
        <v>0.96289259711962605</v>
      </c>
      <c r="J21" s="1">
        <v>432.08766077015702</v>
      </c>
      <c r="K21">
        <f t="shared" si="0"/>
        <v>0.30006087553483124</v>
      </c>
    </row>
    <row r="22" spans="1:11">
      <c r="A22" t="s">
        <v>4</v>
      </c>
      <c r="B22" t="s">
        <v>2</v>
      </c>
      <c r="C22">
        <v>90</v>
      </c>
      <c r="D22" t="s">
        <v>39</v>
      </c>
      <c r="E22">
        <v>0.71928571428571397</v>
      </c>
      <c r="F22">
        <v>0.96405228758169903</v>
      </c>
      <c r="G22">
        <v>0.71084337349397497</v>
      </c>
      <c r="H22">
        <v>0.81830790568654599</v>
      </c>
      <c r="I22">
        <v>0.81681046767716003</v>
      </c>
      <c r="J22">
        <v>295.97766884812398</v>
      </c>
      <c r="K22">
        <f t="shared" si="0"/>
        <v>0.2055400478111972</v>
      </c>
    </row>
    <row r="23" spans="1:11">
      <c r="A23" t="s">
        <v>4</v>
      </c>
      <c r="B23" t="s">
        <v>2</v>
      </c>
      <c r="C23">
        <v>95</v>
      </c>
      <c r="D23" t="s">
        <v>40</v>
      </c>
      <c r="E23">
        <v>0.70499999999999996</v>
      </c>
      <c r="F23">
        <v>0.95714285714285696</v>
      </c>
      <c r="G23">
        <v>0.69959839357429698</v>
      </c>
      <c r="H23">
        <v>0.80835266821345697</v>
      </c>
      <c r="I23">
        <v>0.797354579608757</v>
      </c>
      <c r="J23">
        <v>275.80760065499697</v>
      </c>
      <c r="K23">
        <f t="shared" si="0"/>
        <v>0.19153305601041457</v>
      </c>
    </row>
    <row r="24" spans="1:11">
      <c r="A24" t="s">
        <v>4</v>
      </c>
      <c r="B24" t="s">
        <v>2</v>
      </c>
      <c r="C24">
        <v>95</v>
      </c>
      <c r="D24" t="s">
        <v>41</v>
      </c>
      <c r="E24">
        <v>0.70499999999999996</v>
      </c>
      <c r="F24">
        <v>0.95714285714285696</v>
      </c>
      <c r="G24">
        <v>0.69959839357429698</v>
      </c>
      <c r="H24">
        <v>0.80835266821345697</v>
      </c>
      <c r="I24">
        <v>0.77958025650991003</v>
      </c>
      <c r="J24">
        <v>283.18356530086498</v>
      </c>
      <c r="K24">
        <f t="shared" si="0"/>
        <v>0.19665525368115624</v>
      </c>
    </row>
    <row r="25" spans="1:11">
      <c r="A25" t="s">
        <v>4</v>
      </c>
      <c r="B25" t="s">
        <v>2</v>
      </c>
      <c r="C25">
        <v>90</v>
      </c>
      <c r="D25" t="s">
        <v>39</v>
      </c>
      <c r="E25">
        <v>0.71928571428571397</v>
      </c>
      <c r="F25">
        <v>0.96405228758169903</v>
      </c>
      <c r="G25">
        <v>0.71084337349397497</v>
      </c>
      <c r="H25">
        <v>0.81830790568654599</v>
      </c>
      <c r="I25">
        <v>0.81681046767716003</v>
      </c>
      <c r="J25">
        <v>295.97766884812398</v>
      </c>
      <c r="K25">
        <f t="shared" si="0"/>
        <v>0.2055400478111972</v>
      </c>
    </row>
    <row r="26" spans="1:11">
      <c r="A26" t="s">
        <v>4</v>
      </c>
      <c r="B26" t="s">
        <v>2</v>
      </c>
      <c r="C26">
        <v>95</v>
      </c>
      <c r="D26" t="s">
        <v>40</v>
      </c>
      <c r="E26">
        <v>0.70499999999999996</v>
      </c>
      <c r="F26">
        <v>0.95714285714285696</v>
      </c>
      <c r="G26">
        <v>0.69959839357429698</v>
      </c>
      <c r="H26">
        <v>0.80835266821345697</v>
      </c>
      <c r="I26">
        <v>0.797354579608757</v>
      </c>
      <c r="J26">
        <v>275.80760065499697</v>
      </c>
      <c r="K26">
        <f t="shared" si="0"/>
        <v>0.19153305601041457</v>
      </c>
    </row>
    <row r="27" spans="1:11">
      <c r="A27" t="s">
        <v>4</v>
      </c>
      <c r="B27" t="s">
        <v>2</v>
      </c>
      <c r="C27">
        <v>95</v>
      </c>
      <c r="D27" t="s">
        <v>41</v>
      </c>
      <c r="E27">
        <v>0.70499999999999996</v>
      </c>
      <c r="F27">
        <v>0.95714285714285696</v>
      </c>
      <c r="G27">
        <v>0.69959839357429698</v>
      </c>
      <c r="H27">
        <v>0.80835266821345697</v>
      </c>
      <c r="I27">
        <v>0.77958025650991003</v>
      </c>
      <c r="J27">
        <v>283.18356530086498</v>
      </c>
      <c r="K27">
        <f t="shared" si="0"/>
        <v>0.19665525368115624</v>
      </c>
    </row>
    <row r="28" spans="1:11">
      <c r="A28" t="s">
        <v>4</v>
      </c>
      <c r="B28" t="s">
        <v>2</v>
      </c>
      <c r="C28">
        <v>90</v>
      </c>
      <c r="D28" t="s">
        <v>39</v>
      </c>
      <c r="E28">
        <v>0.71928571428571397</v>
      </c>
      <c r="F28">
        <v>0.96405228758169903</v>
      </c>
      <c r="G28">
        <v>0.71084337349397497</v>
      </c>
      <c r="H28">
        <v>0.81830790568654599</v>
      </c>
      <c r="I28">
        <v>0.81681046767716003</v>
      </c>
      <c r="J28">
        <v>295.97766884812398</v>
      </c>
      <c r="K28">
        <f t="shared" si="0"/>
        <v>0.2055400478111972</v>
      </c>
    </row>
    <row r="29" spans="1:11">
      <c r="A29" t="s">
        <v>4</v>
      </c>
      <c r="B29" t="s">
        <v>2</v>
      </c>
      <c r="C29">
        <v>95</v>
      </c>
      <c r="D29" t="s">
        <v>40</v>
      </c>
      <c r="E29">
        <v>0.70499999999999996</v>
      </c>
      <c r="F29">
        <v>0.95714285714285696</v>
      </c>
      <c r="G29">
        <v>0.69959839357429698</v>
      </c>
      <c r="H29">
        <v>0.80835266821345697</v>
      </c>
      <c r="I29">
        <v>0.797354579608757</v>
      </c>
      <c r="J29">
        <v>275.80760065499697</v>
      </c>
      <c r="K29">
        <f t="shared" si="0"/>
        <v>0.19153305601041457</v>
      </c>
    </row>
    <row r="30" spans="1:11">
      <c r="A30" t="s">
        <v>4</v>
      </c>
      <c r="B30" t="s">
        <v>2</v>
      </c>
      <c r="C30">
        <v>95</v>
      </c>
      <c r="D30" t="s">
        <v>41</v>
      </c>
      <c r="E30">
        <v>0.70499999999999996</v>
      </c>
      <c r="F30">
        <v>0.95714285714285696</v>
      </c>
      <c r="G30">
        <v>0.69959839357429698</v>
      </c>
      <c r="H30">
        <v>0.80835266821345697</v>
      </c>
      <c r="I30">
        <v>0.77958025650991003</v>
      </c>
      <c r="J30">
        <v>283.18356530086498</v>
      </c>
      <c r="K30">
        <f t="shared" si="0"/>
        <v>0.19665525368115624</v>
      </c>
    </row>
    <row r="31" spans="1:11">
      <c r="A31" t="s">
        <v>4</v>
      </c>
      <c r="B31" t="s">
        <v>2</v>
      </c>
      <c r="C31">
        <v>90</v>
      </c>
      <c r="D31" t="s">
        <v>39</v>
      </c>
      <c r="E31">
        <v>0.71928571428571397</v>
      </c>
      <c r="F31">
        <v>0.96405228758169903</v>
      </c>
      <c r="G31">
        <v>0.71084337349397497</v>
      </c>
      <c r="H31">
        <v>0.81830790568654599</v>
      </c>
      <c r="I31">
        <v>0.81681046767716003</v>
      </c>
      <c r="J31" s="1">
        <v>295.97766884812398</v>
      </c>
      <c r="K31">
        <f t="shared" si="0"/>
        <v>0.2055400478111972</v>
      </c>
    </row>
    <row r="32" spans="1:11">
      <c r="A32" t="s">
        <v>7</v>
      </c>
      <c r="B32" t="s">
        <v>6</v>
      </c>
      <c r="C32">
        <v>15</v>
      </c>
      <c r="D32" t="s">
        <v>42</v>
      </c>
      <c r="E32">
        <v>0.871428571428571</v>
      </c>
      <c r="F32">
        <v>0.98453139217470398</v>
      </c>
      <c r="G32">
        <v>0.86907630522088297</v>
      </c>
      <c r="H32">
        <v>0.92320819112627905</v>
      </c>
      <c r="I32">
        <v>0.94183443451224202</v>
      </c>
      <c r="J32" s="2">
        <f t="shared" ref="J32:J92" si="1">I32*100+20</f>
        <v>114.18344345122421</v>
      </c>
      <c r="K32">
        <f t="shared" si="0"/>
        <v>7.9294057952239025E-2</v>
      </c>
    </row>
    <row r="33" spans="1:11">
      <c r="A33" t="s">
        <v>7</v>
      </c>
      <c r="B33" t="s">
        <v>6</v>
      </c>
      <c r="C33">
        <v>15</v>
      </c>
      <c r="D33" t="s">
        <v>42</v>
      </c>
      <c r="E33">
        <v>0.86857142857142799</v>
      </c>
      <c r="F33">
        <v>0.98359161349134006</v>
      </c>
      <c r="G33">
        <v>0.86666666666666603</v>
      </c>
      <c r="H33">
        <v>0.92143467122117795</v>
      </c>
      <c r="I33">
        <v>0.94237595543464103</v>
      </c>
      <c r="J33" s="2">
        <f t="shared" si="1"/>
        <v>114.23759554346411</v>
      </c>
      <c r="K33">
        <f t="shared" si="0"/>
        <v>7.9331663571850078E-2</v>
      </c>
    </row>
    <row r="34" spans="1:11">
      <c r="A34" t="s">
        <v>7</v>
      </c>
      <c r="B34" t="s">
        <v>6</v>
      </c>
      <c r="C34">
        <v>15</v>
      </c>
      <c r="D34" t="s">
        <v>42</v>
      </c>
      <c r="E34">
        <v>0.870714285714285</v>
      </c>
      <c r="F34">
        <v>0.98275862068965503</v>
      </c>
      <c r="G34">
        <v>0.86987951807228903</v>
      </c>
      <c r="H34">
        <v>0.92288027268853801</v>
      </c>
      <c r="I34">
        <v>0.94282420002591005</v>
      </c>
      <c r="J34" s="2">
        <f t="shared" si="1"/>
        <v>114.28242000259101</v>
      </c>
      <c r="K34">
        <f t="shared" si="0"/>
        <v>7.9362791668465979E-2</v>
      </c>
    </row>
    <row r="35" spans="1:11">
      <c r="A35" t="s">
        <v>7</v>
      </c>
      <c r="B35" t="s">
        <v>6</v>
      </c>
      <c r="C35">
        <v>15</v>
      </c>
      <c r="D35" t="s">
        <v>42</v>
      </c>
      <c r="E35">
        <v>0.86785714285714199</v>
      </c>
      <c r="F35">
        <v>0.98357664233576603</v>
      </c>
      <c r="G35">
        <v>0.86586345381526097</v>
      </c>
      <c r="H35">
        <v>0.92097394275950395</v>
      </c>
      <c r="I35">
        <v>0.94030055706697702</v>
      </c>
      <c r="J35" s="2">
        <f t="shared" si="1"/>
        <v>114.03005570669769</v>
      </c>
      <c r="K35">
        <f t="shared" ref="K35:K66" si="2">J35/60/24</f>
        <v>7.918753868520674E-2</v>
      </c>
    </row>
    <row r="36" spans="1:11">
      <c r="A36" t="s">
        <v>7</v>
      </c>
      <c r="B36" t="s">
        <v>6</v>
      </c>
      <c r="C36">
        <v>15</v>
      </c>
      <c r="D36" t="s">
        <v>42</v>
      </c>
      <c r="E36">
        <v>0.86071428571428499</v>
      </c>
      <c r="F36">
        <v>0.98342541436464004</v>
      </c>
      <c r="G36">
        <v>0.85783132530120398</v>
      </c>
      <c r="H36">
        <v>0.91634491634491599</v>
      </c>
      <c r="I36">
        <v>0.94087576110895199</v>
      </c>
      <c r="J36" s="2">
        <f t="shared" si="1"/>
        <v>114.0875761108952</v>
      </c>
      <c r="K36">
        <f t="shared" si="2"/>
        <v>7.9227483410343885E-2</v>
      </c>
    </row>
    <row r="37" spans="1:11">
      <c r="A37" t="s">
        <v>7</v>
      </c>
      <c r="B37" t="s">
        <v>6</v>
      </c>
      <c r="C37">
        <v>15</v>
      </c>
      <c r="D37" t="s">
        <v>42</v>
      </c>
      <c r="E37">
        <v>0.87</v>
      </c>
      <c r="F37">
        <v>0.98716773602199803</v>
      </c>
      <c r="G37">
        <v>0.86506024096385503</v>
      </c>
      <c r="H37">
        <v>0.92208904109588996</v>
      </c>
      <c r="I37">
        <v>0.94712527529472701</v>
      </c>
      <c r="J37" s="2">
        <f t="shared" si="1"/>
        <v>114.71252752947269</v>
      </c>
      <c r="K37">
        <f t="shared" si="2"/>
        <v>7.9661477451022714E-2</v>
      </c>
    </row>
    <row r="38" spans="1:11">
      <c r="A38" t="s">
        <v>7</v>
      </c>
      <c r="B38" t="s">
        <v>6</v>
      </c>
      <c r="C38">
        <v>15</v>
      </c>
      <c r="D38" t="s">
        <v>42</v>
      </c>
      <c r="E38">
        <v>0.86428571428571399</v>
      </c>
      <c r="F38">
        <v>0.98528058877644897</v>
      </c>
      <c r="G38">
        <v>0.86024096385542104</v>
      </c>
      <c r="H38">
        <v>0.91852487135506</v>
      </c>
      <c r="I38">
        <v>0.94492809949475298</v>
      </c>
      <c r="J38" s="2">
        <f t="shared" si="1"/>
        <v>114.4928099494753</v>
      </c>
      <c r="K38">
        <f t="shared" si="2"/>
        <v>7.9508895798246729E-2</v>
      </c>
    </row>
    <row r="39" spans="1:11">
      <c r="A39" t="s">
        <v>7</v>
      </c>
      <c r="B39" t="s">
        <v>6</v>
      </c>
      <c r="C39">
        <v>15</v>
      </c>
      <c r="D39" t="s">
        <v>42</v>
      </c>
      <c r="E39">
        <v>0.878571428571428</v>
      </c>
      <c r="F39">
        <v>0.98467087466185699</v>
      </c>
      <c r="G39">
        <v>0.87710843373493896</v>
      </c>
      <c r="H39">
        <v>0.92778249787595501</v>
      </c>
      <c r="I39">
        <v>0.94848814613291799</v>
      </c>
      <c r="J39" s="2">
        <f t="shared" si="1"/>
        <v>114.84881461329179</v>
      </c>
      <c r="K39">
        <f t="shared" si="2"/>
        <v>7.9756121259230414E-2</v>
      </c>
    </row>
    <row r="40" spans="1:11">
      <c r="A40" t="s">
        <v>7</v>
      </c>
      <c r="B40" t="s">
        <v>6</v>
      </c>
      <c r="C40">
        <v>15</v>
      </c>
      <c r="D40" t="s">
        <v>42</v>
      </c>
      <c r="E40">
        <v>0.869285714285714</v>
      </c>
      <c r="F40">
        <v>0.98537477148080399</v>
      </c>
      <c r="G40">
        <v>0.86586345381526097</v>
      </c>
      <c r="H40">
        <v>0.92176143651132902</v>
      </c>
      <c r="I40">
        <v>0.94294856846741804</v>
      </c>
      <c r="J40" s="2">
        <f t="shared" si="1"/>
        <v>114.29485684674181</v>
      </c>
      <c r="K40">
        <f t="shared" si="2"/>
        <v>7.9371428365792931E-2</v>
      </c>
    </row>
    <row r="41" spans="1:11">
      <c r="A41" t="s">
        <v>7</v>
      </c>
      <c r="B41" t="s">
        <v>6</v>
      </c>
      <c r="C41">
        <v>15</v>
      </c>
      <c r="D41" t="s">
        <v>42</v>
      </c>
      <c r="E41">
        <v>0.877142857142857</v>
      </c>
      <c r="F41">
        <v>0.98289828982898197</v>
      </c>
      <c r="G41">
        <v>0.87710843373493896</v>
      </c>
      <c r="H41">
        <v>0.92699490662139195</v>
      </c>
      <c r="I41">
        <v>0.937805415209223</v>
      </c>
      <c r="J41" s="2">
        <f t="shared" si="1"/>
        <v>113.7805415209223</v>
      </c>
      <c r="K41">
        <f t="shared" si="2"/>
        <v>7.9014264945084928E-2</v>
      </c>
    </row>
    <row r="42" spans="1:11">
      <c r="A42" t="s">
        <v>9</v>
      </c>
      <c r="B42" t="s">
        <v>6</v>
      </c>
      <c r="C42">
        <v>5</v>
      </c>
      <c r="D42" t="s">
        <v>42</v>
      </c>
      <c r="E42">
        <v>0.72428571428571398</v>
      </c>
      <c r="F42">
        <v>0.96133190118152501</v>
      </c>
      <c r="G42">
        <v>0.71887550200803196</v>
      </c>
      <c r="H42">
        <v>0.82261029411764697</v>
      </c>
      <c r="I42">
        <v>0.81619380748801595</v>
      </c>
      <c r="J42" s="2">
        <f t="shared" si="1"/>
        <v>101.61938074880159</v>
      </c>
      <c r="K42">
        <f t="shared" si="2"/>
        <v>7.0569014408889991E-2</v>
      </c>
    </row>
    <row r="43" spans="1:11">
      <c r="A43" t="s">
        <v>9</v>
      </c>
      <c r="B43" t="s">
        <v>6</v>
      </c>
      <c r="C43">
        <v>5</v>
      </c>
      <c r="D43" t="s">
        <v>42</v>
      </c>
      <c r="E43">
        <v>0.72142857142857097</v>
      </c>
      <c r="F43">
        <v>0.96416938110749095</v>
      </c>
      <c r="G43">
        <v>0.71325301204819203</v>
      </c>
      <c r="H43">
        <v>0.81994459833794997</v>
      </c>
      <c r="I43">
        <v>0.82191734680658102</v>
      </c>
      <c r="J43" s="2">
        <f t="shared" si="1"/>
        <v>102.1917346806581</v>
      </c>
      <c r="K43">
        <f t="shared" si="2"/>
        <v>7.096648241712368E-2</v>
      </c>
    </row>
    <row r="44" spans="1:11">
      <c r="A44" t="s">
        <v>9</v>
      </c>
      <c r="B44" t="s">
        <v>6</v>
      </c>
      <c r="C44">
        <v>5</v>
      </c>
      <c r="D44" t="s">
        <v>42</v>
      </c>
      <c r="E44">
        <v>0.73357142857142799</v>
      </c>
      <c r="F44">
        <v>0.963829787234042</v>
      </c>
      <c r="G44">
        <v>0.72771084337349401</v>
      </c>
      <c r="H44">
        <v>0.82929061784896996</v>
      </c>
      <c r="I44">
        <v>0.82167897396035705</v>
      </c>
      <c r="J44" s="2">
        <f t="shared" si="1"/>
        <v>102.1678973960357</v>
      </c>
      <c r="K44">
        <f t="shared" si="2"/>
        <v>7.094992874724701E-2</v>
      </c>
    </row>
    <row r="45" spans="1:11">
      <c r="A45" t="s">
        <v>9</v>
      </c>
      <c r="B45" t="s">
        <v>6</v>
      </c>
      <c r="C45">
        <v>5</v>
      </c>
      <c r="D45" t="s">
        <v>42</v>
      </c>
      <c r="E45">
        <v>0.72357142857142798</v>
      </c>
      <c r="F45">
        <v>0.96228448275862</v>
      </c>
      <c r="G45">
        <v>0.71726907630521997</v>
      </c>
      <c r="H45">
        <v>0.82190520018407698</v>
      </c>
      <c r="I45">
        <v>0.82210649047804096</v>
      </c>
      <c r="J45" s="2">
        <f t="shared" si="1"/>
        <v>102.2106490478041</v>
      </c>
      <c r="K45">
        <f t="shared" si="2"/>
        <v>7.09796173943084E-2</v>
      </c>
    </row>
    <row r="46" spans="1:11">
      <c r="A46" t="s">
        <v>9</v>
      </c>
      <c r="B46" t="s">
        <v>6</v>
      </c>
      <c r="C46">
        <v>5</v>
      </c>
      <c r="D46" t="s">
        <v>42</v>
      </c>
      <c r="E46">
        <v>0.72285714285714198</v>
      </c>
      <c r="F46">
        <v>0.96224379719525299</v>
      </c>
      <c r="G46">
        <v>0.71646586345381502</v>
      </c>
      <c r="H46">
        <v>0.82136279926335098</v>
      </c>
      <c r="I46">
        <v>0.82101567560564803</v>
      </c>
      <c r="J46" s="2">
        <f t="shared" si="1"/>
        <v>102.1015675605648</v>
      </c>
      <c r="K46">
        <f t="shared" si="2"/>
        <v>7.0903866361503337E-2</v>
      </c>
    </row>
    <row r="47" spans="1:11">
      <c r="A47" t="s">
        <v>9</v>
      </c>
      <c r="B47" t="s">
        <v>6</v>
      </c>
      <c r="C47">
        <v>5</v>
      </c>
      <c r="D47" t="s">
        <v>42</v>
      </c>
      <c r="E47">
        <v>0.73</v>
      </c>
      <c r="F47">
        <v>0.96264674493062896</v>
      </c>
      <c r="G47">
        <v>0.72449799196787101</v>
      </c>
      <c r="H47">
        <v>0.82676443629697505</v>
      </c>
      <c r="I47">
        <v>0.81888845705402202</v>
      </c>
      <c r="J47" s="2">
        <f t="shared" si="1"/>
        <v>101.8888457054022</v>
      </c>
      <c r="K47">
        <f t="shared" si="2"/>
        <v>7.0756142850973744E-2</v>
      </c>
    </row>
    <row r="48" spans="1:11">
      <c r="A48" t="s">
        <v>9</v>
      </c>
      <c r="B48" t="s">
        <v>6</v>
      </c>
      <c r="C48">
        <v>5</v>
      </c>
      <c r="D48" t="s">
        <v>42</v>
      </c>
      <c r="E48">
        <v>0.72214285714285698</v>
      </c>
      <c r="F48">
        <v>0.96021505376343996</v>
      </c>
      <c r="G48">
        <v>0.71726907630521997</v>
      </c>
      <c r="H48">
        <v>0.82114942528735602</v>
      </c>
      <c r="I48">
        <v>0.81655136675735196</v>
      </c>
      <c r="J48" s="2">
        <f t="shared" si="1"/>
        <v>101.65513667573519</v>
      </c>
      <c r="K48">
        <f t="shared" si="2"/>
        <v>7.0593844913705003E-2</v>
      </c>
    </row>
    <row r="49" spans="1:11">
      <c r="A49" t="s">
        <v>9</v>
      </c>
      <c r="B49" t="s">
        <v>6</v>
      </c>
      <c r="C49">
        <v>5</v>
      </c>
      <c r="D49" t="s">
        <v>42</v>
      </c>
      <c r="E49">
        <v>0.72642857142857098</v>
      </c>
      <c r="F49">
        <v>0.96244635193132999</v>
      </c>
      <c r="G49">
        <v>0.72048192771084296</v>
      </c>
      <c r="H49">
        <v>0.82406982085438596</v>
      </c>
      <c r="I49">
        <v>0.81843503044435795</v>
      </c>
      <c r="J49" s="2">
        <f t="shared" si="1"/>
        <v>101.84350304443579</v>
      </c>
      <c r="K49">
        <f t="shared" si="2"/>
        <v>7.0724654891969302E-2</v>
      </c>
    </row>
    <row r="50" spans="1:11">
      <c r="A50" t="s">
        <v>9</v>
      </c>
      <c r="B50" t="s">
        <v>6</v>
      </c>
      <c r="C50">
        <v>5</v>
      </c>
      <c r="D50" t="s">
        <v>42</v>
      </c>
      <c r="E50">
        <v>0.73</v>
      </c>
      <c r="F50">
        <v>0.96363636363636296</v>
      </c>
      <c r="G50">
        <v>0.72369477911646496</v>
      </c>
      <c r="H50">
        <v>0.82660550458715598</v>
      </c>
      <c r="I50">
        <v>0.82058038606036998</v>
      </c>
      <c r="J50" s="2">
        <f t="shared" si="1"/>
        <v>102.058038606037</v>
      </c>
      <c r="K50">
        <f t="shared" si="2"/>
        <v>7.0873637920859031E-2</v>
      </c>
    </row>
    <row r="51" spans="1:11">
      <c r="A51" t="s">
        <v>9</v>
      </c>
      <c r="B51" t="s">
        <v>6</v>
      </c>
      <c r="C51">
        <v>5</v>
      </c>
      <c r="D51" t="s">
        <v>42</v>
      </c>
      <c r="E51">
        <v>0.72071428571428497</v>
      </c>
      <c r="F51">
        <v>0.95815450643776801</v>
      </c>
      <c r="G51">
        <v>0.71726907630521997</v>
      </c>
      <c r="H51">
        <v>0.82039503904455602</v>
      </c>
      <c r="I51">
        <v>0.81740639979271901</v>
      </c>
      <c r="J51" s="2">
        <f t="shared" si="1"/>
        <v>101.7406399792719</v>
      </c>
      <c r="K51">
        <f t="shared" si="2"/>
        <v>7.0653222207827715E-2</v>
      </c>
    </row>
    <row r="52" spans="1:11">
      <c r="A52" t="s">
        <v>9</v>
      </c>
      <c r="B52" t="s">
        <v>6</v>
      </c>
      <c r="C52">
        <v>5</v>
      </c>
      <c r="D52" t="s">
        <v>42</v>
      </c>
      <c r="E52">
        <v>0.72071428571428497</v>
      </c>
      <c r="F52">
        <v>0.95815450643776801</v>
      </c>
      <c r="G52">
        <v>0.71726907630521997</v>
      </c>
      <c r="H52">
        <v>0.82039503904455602</v>
      </c>
      <c r="I52">
        <v>0.81740639979271901</v>
      </c>
      <c r="J52" s="2">
        <f t="shared" si="1"/>
        <v>101.7406399792719</v>
      </c>
      <c r="K52">
        <f t="shared" si="2"/>
        <v>7.0653222207827715E-2</v>
      </c>
    </row>
    <row r="53" spans="1:11">
      <c r="A53" t="s">
        <v>12</v>
      </c>
      <c r="B53" t="s">
        <v>10</v>
      </c>
      <c r="C53">
        <v>5</v>
      </c>
      <c r="D53" t="s">
        <v>42</v>
      </c>
      <c r="E53">
        <v>0.84214285714285697</v>
      </c>
      <c r="F53">
        <v>0.97940074906367003</v>
      </c>
      <c r="G53">
        <v>0.840160642570281</v>
      </c>
      <c r="H53">
        <v>0.90445309122351902</v>
      </c>
      <c r="I53">
        <v>0.92362741287731498</v>
      </c>
      <c r="J53" s="2">
        <f t="shared" si="1"/>
        <v>112.3627412877315</v>
      </c>
      <c r="K53">
        <f t="shared" si="2"/>
        <v>7.8029681449813537E-2</v>
      </c>
    </row>
    <row r="54" spans="1:11">
      <c r="A54" t="s">
        <v>12</v>
      </c>
      <c r="B54" t="s">
        <v>10</v>
      </c>
      <c r="C54">
        <v>5</v>
      </c>
      <c r="D54" t="s">
        <v>42</v>
      </c>
      <c r="E54">
        <v>0.84214285714285697</v>
      </c>
      <c r="F54">
        <v>0.97672253258845398</v>
      </c>
      <c r="G54">
        <v>0.84257028112449694</v>
      </c>
      <c r="H54">
        <v>0.90470030185424699</v>
      </c>
      <c r="I54">
        <v>0.91852312475709197</v>
      </c>
      <c r="J54" s="2">
        <f t="shared" si="1"/>
        <v>111.8523124757092</v>
      </c>
      <c r="K54">
        <f t="shared" si="2"/>
        <v>7.7675216997020277E-2</v>
      </c>
    </row>
    <row r="55" spans="1:11">
      <c r="A55" t="s">
        <v>12</v>
      </c>
      <c r="B55" t="s">
        <v>10</v>
      </c>
      <c r="C55">
        <v>5</v>
      </c>
      <c r="D55" t="s">
        <v>42</v>
      </c>
      <c r="E55">
        <v>0.84928571428571398</v>
      </c>
      <c r="F55">
        <v>0.97518382352941102</v>
      </c>
      <c r="G55">
        <v>0.85220883534136505</v>
      </c>
      <c r="H55">
        <v>0.90955850835833696</v>
      </c>
      <c r="I55">
        <v>0.92107267780800595</v>
      </c>
      <c r="J55" s="2">
        <f t="shared" si="1"/>
        <v>112.1072677808006</v>
      </c>
      <c r="K55">
        <f t="shared" si="2"/>
        <v>7.7852269292222637E-2</v>
      </c>
    </row>
    <row r="56" spans="1:11">
      <c r="A56" t="s">
        <v>12</v>
      </c>
      <c r="B56" t="s">
        <v>10</v>
      </c>
      <c r="C56">
        <v>5</v>
      </c>
      <c r="D56" t="s">
        <v>42</v>
      </c>
      <c r="E56">
        <v>0.86142857142857099</v>
      </c>
      <c r="F56">
        <v>0.97816196542311196</v>
      </c>
      <c r="G56">
        <v>0.86345381526104403</v>
      </c>
      <c r="H56">
        <v>0.91723549488054601</v>
      </c>
      <c r="I56">
        <v>0.92090167120093203</v>
      </c>
      <c r="J56" s="2">
        <f t="shared" si="1"/>
        <v>112.0901671200932</v>
      </c>
      <c r="K56">
        <f t="shared" si="2"/>
        <v>7.7840393833398053E-2</v>
      </c>
    </row>
    <row r="57" spans="1:11">
      <c r="A57" t="s">
        <v>12</v>
      </c>
      <c r="B57" t="s">
        <v>10</v>
      </c>
      <c r="C57">
        <v>5</v>
      </c>
      <c r="D57" t="s">
        <v>42</v>
      </c>
      <c r="E57">
        <v>0.85071428571428498</v>
      </c>
      <c r="F57">
        <v>0.97610294117647001</v>
      </c>
      <c r="G57">
        <v>0.85301204819277099</v>
      </c>
      <c r="H57">
        <v>0.91041577368195403</v>
      </c>
      <c r="I57">
        <v>0.91954139137193902</v>
      </c>
      <c r="J57" s="2">
        <f t="shared" si="1"/>
        <v>111.95413913719391</v>
      </c>
      <c r="K57">
        <f t="shared" si="2"/>
        <v>7.7745929956384657E-2</v>
      </c>
    </row>
    <row r="58" spans="1:11">
      <c r="A58" t="s">
        <v>12</v>
      </c>
      <c r="B58" t="s">
        <v>10</v>
      </c>
      <c r="C58">
        <v>5</v>
      </c>
      <c r="D58" t="s">
        <v>42</v>
      </c>
      <c r="E58">
        <v>0.84499999999999997</v>
      </c>
      <c r="F58">
        <v>0.97769516728624495</v>
      </c>
      <c r="G58">
        <v>0.844979919678714</v>
      </c>
      <c r="H58">
        <v>0.90650581645842299</v>
      </c>
      <c r="I58">
        <v>0.91920196916699004</v>
      </c>
      <c r="J58" s="2">
        <f t="shared" si="1"/>
        <v>111.920196916699</v>
      </c>
      <c r="K58">
        <f t="shared" si="2"/>
        <v>7.7722358969929864E-2</v>
      </c>
    </row>
    <row r="59" spans="1:11">
      <c r="A59" t="s">
        <v>12</v>
      </c>
      <c r="B59" t="s">
        <v>10</v>
      </c>
      <c r="C59">
        <v>5</v>
      </c>
      <c r="D59" t="s">
        <v>42</v>
      </c>
      <c r="E59">
        <v>0.84642857142857097</v>
      </c>
      <c r="F59">
        <v>0.97773654916511998</v>
      </c>
      <c r="G59">
        <v>0.846586345381526</v>
      </c>
      <c r="H59">
        <v>0.907447266465777</v>
      </c>
      <c r="I59">
        <v>0.92057520404197402</v>
      </c>
      <c r="J59" s="2">
        <f t="shared" si="1"/>
        <v>112.0575204041974</v>
      </c>
      <c r="K59">
        <f t="shared" si="2"/>
        <v>7.7817722502914868E-2</v>
      </c>
    </row>
    <row r="60" spans="1:11">
      <c r="A60" t="s">
        <v>12</v>
      </c>
      <c r="B60" t="s">
        <v>10</v>
      </c>
      <c r="C60">
        <v>5</v>
      </c>
      <c r="D60" t="s">
        <v>42</v>
      </c>
      <c r="E60">
        <v>0.85499999999999998</v>
      </c>
      <c r="F60">
        <v>0.97798165137614601</v>
      </c>
      <c r="G60">
        <v>0.85622489959839299</v>
      </c>
      <c r="H60">
        <v>0.91306209850107001</v>
      </c>
      <c r="I60">
        <v>0.92324394351599903</v>
      </c>
      <c r="J60" s="2">
        <f t="shared" si="1"/>
        <v>112.32439435159991</v>
      </c>
      <c r="K60">
        <f t="shared" si="2"/>
        <v>7.8003051633055487E-2</v>
      </c>
    </row>
    <row r="61" spans="1:11">
      <c r="A61" t="s">
        <v>12</v>
      </c>
      <c r="B61" t="s">
        <v>10</v>
      </c>
      <c r="C61">
        <v>5</v>
      </c>
      <c r="D61" t="s">
        <v>42</v>
      </c>
      <c r="E61">
        <v>0.84857142857142798</v>
      </c>
      <c r="F61">
        <v>0.97779833487511503</v>
      </c>
      <c r="G61">
        <v>0.84899598393574205</v>
      </c>
      <c r="H61">
        <v>0.90885640584694705</v>
      </c>
      <c r="I61">
        <v>0.92115299909314596</v>
      </c>
      <c r="J61" s="2">
        <f t="shared" si="1"/>
        <v>112.1152999093146</v>
      </c>
      <c r="K61">
        <f t="shared" si="2"/>
        <v>7.7857847159246249E-2</v>
      </c>
    </row>
    <row r="62" spans="1:11">
      <c r="A62" t="s">
        <v>12</v>
      </c>
      <c r="B62" t="s">
        <v>10</v>
      </c>
      <c r="C62">
        <v>5</v>
      </c>
      <c r="D62" t="s">
        <v>42</v>
      </c>
      <c r="E62">
        <v>0.85071428571428498</v>
      </c>
      <c r="F62">
        <v>0.97785977859778594</v>
      </c>
      <c r="G62">
        <v>0.85140562248995899</v>
      </c>
      <c r="H62">
        <v>0.910261914984972</v>
      </c>
      <c r="I62">
        <v>0.92296670553180404</v>
      </c>
      <c r="J62" s="2">
        <f t="shared" si="1"/>
        <v>112.29667055318041</v>
      </c>
      <c r="K62">
        <f t="shared" si="2"/>
        <v>7.798379899526417E-2</v>
      </c>
    </row>
    <row r="63" spans="1:11">
      <c r="A63" t="s">
        <v>13</v>
      </c>
      <c r="B63" t="s">
        <v>10</v>
      </c>
      <c r="C63">
        <v>152</v>
      </c>
      <c r="D63" t="s">
        <v>42</v>
      </c>
      <c r="E63">
        <v>0.90857142857142803</v>
      </c>
      <c r="F63">
        <v>0.99196428571428497</v>
      </c>
      <c r="G63">
        <v>0.90325203252032504</v>
      </c>
      <c r="H63">
        <v>0.94553191489361699</v>
      </c>
      <c r="I63">
        <v>0.96875657580105201</v>
      </c>
      <c r="J63" s="2">
        <f t="shared" si="1"/>
        <v>116.8756575801052</v>
      </c>
      <c r="K63">
        <f t="shared" si="2"/>
        <v>8.1163651097295272E-2</v>
      </c>
    </row>
    <row r="64" spans="1:11">
      <c r="A64" t="s">
        <v>13</v>
      </c>
      <c r="B64" t="s">
        <v>10</v>
      </c>
      <c r="C64">
        <v>147</v>
      </c>
      <c r="D64" t="s">
        <v>42</v>
      </c>
      <c r="E64">
        <v>0.91571428571428504</v>
      </c>
      <c r="F64">
        <v>0.98666666666666603</v>
      </c>
      <c r="G64">
        <v>0.91508656224237395</v>
      </c>
      <c r="H64">
        <v>0.94952951240376304</v>
      </c>
      <c r="I64">
        <v>0.96886007644457695</v>
      </c>
      <c r="J64" s="2">
        <f t="shared" si="1"/>
        <v>116.88600764445769</v>
      </c>
      <c r="K64">
        <f t="shared" si="2"/>
        <v>8.1170838641984502E-2</v>
      </c>
    </row>
    <row r="65" spans="1:11">
      <c r="A65" t="s">
        <v>13</v>
      </c>
      <c r="B65" t="s">
        <v>10</v>
      </c>
      <c r="C65">
        <v>143</v>
      </c>
      <c r="D65" t="s">
        <v>42</v>
      </c>
      <c r="E65">
        <v>0.89928571428571402</v>
      </c>
      <c r="F65">
        <v>0.99459945994599397</v>
      </c>
      <c r="G65">
        <v>0.89112903225806395</v>
      </c>
      <c r="H65">
        <v>0.94002552105487003</v>
      </c>
      <c r="I65">
        <v>0.96991683467741896</v>
      </c>
      <c r="J65" s="2">
        <f t="shared" si="1"/>
        <v>116.99168346774189</v>
      </c>
      <c r="K65">
        <f t="shared" si="2"/>
        <v>8.124422463037631E-2</v>
      </c>
    </row>
    <row r="66" spans="1:11">
      <c r="A66" t="s">
        <v>13</v>
      </c>
      <c r="B66" t="s">
        <v>10</v>
      </c>
      <c r="C66">
        <v>140</v>
      </c>
      <c r="D66" t="s">
        <v>42</v>
      </c>
      <c r="E66">
        <v>0.91</v>
      </c>
      <c r="F66">
        <v>0.99204244031830202</v>
      </c>
      <c r="G66">
        <v>0.90556900726392198</v>
      </c>
      <c r="H66">
        <v>0.94683544303797396</v>
      </c>
      <c r="I66">
        <v>0.97105710375528198</v>
      </c>
      <c r="J66" s="2">
        <f t="shared" si="1"/>
        <v>117.1057103755282</v>
      </c>
      <c r="K66">
        <f t="shared" si="2"/>
        <v>8.1323409983005704E-2</v>
      </c>
    </row>
    <row r="67" spans="1:11">
      <c r="A67" t="s">
        <v>13</v>
      </c>
      <c r="B67" t="s">
        <v>10</v>
      </c>
      <c r="C67">
        <v>147</v>
      </c>
      <c r="D67" t="s">
        <v>42</v>
      </c>
      <c r="E67">
        <v>0.89928571428571402</v>
      </c>
      <c r="F67">
        <v>0.99638009049773701</v>
      </c>
      <c r="G67">
        <v>0.88933764135702698</v>
      </c>
      <c r="H67">
        <v>0.93982074263764404</v>
      </c>
      <c r="I67">
        <v>0.97406709348012499</v>
      </c>
      <c r="J67" s="2">
        <f t="shared" si="1"/>
        <v>117.4067093480125</v>
      </c>
      <c r="K67">
        <f t="shared" ref="K67:K92" si="3">J67/60/24</f>
        <v>8.1532437047230899E-2</v>
      </c>
    </row>
    <row r="68" spans="1:11">
      <c r="A68" t="s">
        <v>13</v>
      </c>
      <c r="B68" t="s">
        <v>10</v>
      </c>
      <c r="C68">
        <v>141</v>
      </c>
      <c r="D68" t="s">
        <v>42</v>
      </c>
      <c r="E68">
        <v>0.89642857142857102</v>
      </c>
      <c r="F68">
        <v>0.99360730593607305</v>
      </c>
      <c r="G68">
        <v>0.88743882544861297</v>
      </c>
      <c r="H68">
        <v>0.93752692804825499</v>
      </c>
      <c r="I68">
        <v>0.96750482833623896</v>
      </c>
      <c r="J68" s="2">
        <f t="shared" si="1"/>
        <v>116.75048283362389</v>
      </c>
      <c r="K68">
        <f t="shared" si="3"/>
        <v>8.1076724190016589E-2</v>
      </c>
    </row>
    <row r="69" spans="1:11">
      <c r="A69" t="s">
        <v>13</v>
      </c>
      <c r="B69" t="s">
        <v>10</v>
      </c>
      <c r="C69">
        <v>144</v>
      </c>
      <c r="D69" t="s">
        <v>42</v>
      </c>
      <c r="E69">
        <v>0.90142857142857102</v>
      </c>
      <c r="F69">
        <v>0.99455535390199601</v>
      </c>
      <c r="G69">
        <v>0.89250814332247497</v>
      </c>
      <c r="H69">
        <v>0.94077253218884105</v>
      </c>
      <c r="I69">
        <v>0.96836650632527799</v>
      </c>
      <c r="J69" s="2">
        <f t="shared" si="1"/>
        <v>116.83665063252779</v>
      </c>
      <c r="K69">
        <f t="shared" si="3"/>
        <v>8.1136562939255405E-2</v>
      </c>
    </row>
    <row r="70" spans="1:11">
      <c r="A70" t="s">
        <v>13</v>
      </c>
      <c r="B70" t="s">
        <v>10</v>
      </c>
      <c r="C70">
        <v>157</v>
      </c>
      <c r="D70" t="s">
        <v>42</v>
      </c>
      <c r="E70">
        <v>0.92714285714285705</v>
      </c>
      <c r="F70">
        <v>0.99141630901287503</v>
      </c>
      <c r="G70">
        <v>0.92622293504410502</v>
      </c>
      <c r="H70">
        <v>0.95771144278606901</v>
      </c>
      <c r="I70">
        <v>0.97869658422042904</v>
      </c>
      <c r="J70" s="2">
        <f t="shared" si="1"/>
        <v>117.8696584220429</v>
      </c>
      <c r="K70">
        <f t="shared" si="3"/>
        <v>8.185392945975202E-2</v>
      </c>
    </row>
    <row r="71" spans="1:11">
      <c r="A71" t="s">
        <v>13</v>
      </c>
      <c r="B71" t="s">
        <v>10</v>
      </c>
      <c r="C71">
        <v>136</v>
      </c>
      <c r="D71" t="s">
        <v>42</v>
      </c>
      <c r="E71">
        <v>0.92214285714285704</v>
      </c>
      <c r="F71">
        <v>0.98878343399482305</v>
      </c>
      <c r="G71">
        <v>0.92270531400966105</v>
      </c>
      <c r="H71">
        <v>0.95460224906289004</v>
      </c>
      <c r="I71">
        <v>0.97812582808455095</v>
      </c>
      <c r="J71" s="2">
        <f t="shared" si="1"/>
        <v>117.81258280845509</v>
      </c>
      <c r="K71">
        <f t="shared" si="3"/>
        <v>8.1814293616982697E-2</v>
      </c>
    </row>
    <row r="72" spans="1:11">
      <c r="A72" t="s">
        <v>13</v>
      </c>
      <c r="B72" t="s">
        <v>10</v>
      </c>
      <c r="C72">
        <v>140</v>
      </c>
      <c r="D72" t="s">
        <v>42</v>
      </c>
      <c r="E72">
        <v>0.92142857142857104</v>
      </c>
      <c r="F72">
        <v>0.99125874125874103</v>
      </c>
      <c r="G72">
        <v>0.91896272285251202</v>
      </c>
      <c r="H72">
        <v>0.95374264087468397</v>
      </c>
      <c r="I72">
        <v>0.97082169846321997</v>
      </c>
      <c r="J72" s="2">
        <f t="shared" si="1"/>
        <v>117.082169846322</v>
      </c>
      <c r="K72">
        <f t="shared" si="3"/>
        <v>8.1307062393279173E-2</v>
      </c>
    </row>
    <row r="73" spans="1:11">
      <c r="A73" t="s">
        <v>11</v>
      </c>
      <c r="B73" t="s">
        <v>10</v>
      </c>
      <c r="C73">
        <v>31</v>
      </c>
      <c r="D73" t="s">
        <v>42</v>
      </c>
      <c r="E73">
        <v>0.90714285714285703</v>
      </c>
      <c r="F73">
        <v>0.99288256227757998</v>
      </c>
      <c r="G73">
        <v>0.90145395799676897</v>
      </c>
      <c r="H73">
        <v>0.94496189669771302</v>
      </c>
      <c r="I73">
        <v>0.96755270348431299</v>
      </c>
      <c r="J73" s="2">
        <f t="shared" si="1"/>
        <v>116.7552703484313</v>
      </c>
      <c r="K73">
        <f t="shared" si="3"/>
        <v>8.1080048853077291E-2</v>
      </c>
    </row>
    <row r="74" spans="1:11">
      <c r="A74" t="s">
        <v>11</v>
      </c>
      <c r="B74" t="s">
        <v>10</v>
      </c>
      <c r="C74">
        <v>215</v>
      </c>
      <c r="D74" t="s">
        <v>42</v>
      </c>
      <c r="E74">
        <v>0.91</v>
      </c>
      <c r="F74">
        <v>0.99031690140844997</v>
      </c>
      <c r="G74">
        <v>0.907258064516129</v>
      </c>
      <c r="H74">
        <v>0.94696969696969702</v>
      </c>
      <c r="I74">
        <v>0.96433215725806398</v>
      </c>
      <c r="J74" s="2">
        <f t="shared" si="1"/>
        <v>116.43321572580639</v>
      </c>
      <c r="K74">
        <f t="shared" si="3"/>
        <v>8.0856399809587767E-2</v>
      </c>
    </row>
    <row r="75" spans="1:11">
      <c r="A75" t="s">
        <v>11</v>
      </c>
      <c r="B75" t="s">
        <v>10</v>
      </c>
      <c r="C75">
        <v>220</v>
      </c>
      <c r="D75" t="s">
        <v>42</v>
      </c>
      <c r="E75">
        <v>0.91642857142857104</v>
      </c>
      <c r="F75">
        <v>0.99298860648553899</v>
      </c>
      <c r="G75">
        <v>0.91223832528180304</v>
      </c>
      <c r="H75">
        <v>0.95090222408728498</v>
      </c>
      <c r="I75">
        <v>0.96954177622862203</v>
      </c>
      <c r="J75" s="2">
        <f t="shared" si="1"/>
        <v>116.9541776228622</v>
      </c>
      <c r="K75">
        <f t="shared" si="3"/>
        <v>8.1218178904765417E-2</v>
      </c>
    </row>
    <row r="76" spans="1:11">
      <c r="A76" t="s">
        <v>11</v>
      </c>
      <c r="B76" t="s">
        <v>10</v>
      </c>
      <c r="C76">
        <v>257</v>
      </c>
      <c r="D76" t="s">
        <v>42</v>
      </c>
      <c r="E76">
        <v>0.92</v>
      </c>
      <c r="F76">
        <v>0.98866608544027901</v>
      </c>
      <c r="G76">
        <v>0.91970802919707995</v>
      </c>
      <c r="H76">
        <v>0.95294117647058796</v>
      </c>
      <c r="I76">
        <v>0.96061890816906303</v>
      </c>
      <c r="J76" s="2">
        <f t="shared" si="1"/>
        <v>116.0618908169063</v>
      </c>
      <c r="K76">
        <f t="shared" si="3"/>
        <v>8.0598535289518256E-2</v>
      </c>
    </row>
    <row r="77" spans="1:11">
      <c r="A77" t="s">
        <v>11</v>
      </c>
      <c r="B77" t="s">
        <v>10</v>
      </c>
      <c r="C77">
        <v>211</v>
      </c>
      <c r="D77" t="s">
        <v>42</v>
      </c>
      <c r="E77">
        <v>0.91</v>
      </c>
      <c r="F77">
        <v>0.98757763975155199</v>
      </c>
      <c r="G77">
        <v>0.90857142857142803</v>
      </c>
      <c r="H77">
        <v>0.94642857142857095</v>
      </c>
      <c r="I77">
        <v>0.963477551020408</v>
      </c>
      <c r="J77" s="2">
        <f t="shared" si="1"/>
        <v>116.34775510204079</v>
      </c>
      <c r="K77">
        <f t="shared" si="3"/>
        <v>8.0797052154194998E-2</v>
      </c>
    </row>
    <row r="78" spans="1:11">
      <c r="A78" t="s">
        <v>11</v>
      </c>
      <c r="B78" t="s">
        <v>10</v>
      </c>
      <c r="C78">
        <v>251</v>
      </c>
      <c r="D78" t="s">
        <v>42</v>
      </c>
      <c r="E78">
        <v>0.90571428571428503</v>
      </c>
      <c r="F78">
        <v>0.984807864164432</v>
      </c>
      <c r="G78">
        <v>0.90550534100246505</v>
      </c>
      <c r="H78">
        <v>0.943493150684931</v>
      </c>
      <c r="I78">
        <v>0.96380960078307698</v>
      </c>
      <c r="J78" s="2">
        <f t="shared" si="1"/>
        <v>116.38096007830769</v>
      </c>
      <c r="K78">
        <f t="shared" si="3"/>
        <v>8.0820111165491454E-2</v>
      </c>
    </row>
    <row r="79" spans="1:11">
      <c r="A79" t="s">
        <v>11</v>
      </c>
      <c r="B79" t="s">
        <v>10</v>
      </c>
      <c r="C79">
        <v>245</v>
      </c>
      <c r="D79" t="s">
        <v>42</v>
      </c>
      <c r="E79">
        <v>0.9</v>
      </c>
      <c r="F79">
        <v>0.99634369287020097</v>
      </c>
      <c r="G79">
        <v>0.88907014681892305</v>
      </c>
      <c r="H79">
        <v>0.93965517241379304</v>
      </c>
      <c r="I79">
        <v>0.97412386791922101</v>
      </c>
      <c r="J79" s="2">
        <f t="shared" si="1"/>
        <v>117.4123867919221</v>
      </c>
      <c r="K79">
        <f t="shared" si="3"/>
        <v>8.1536379716612567E-2</v>
      </c>
    </row>
    <row r="80" spans="1:11">
      <c r="A80" t="s">
        <v>11</v>
      </c>
      <c r="B80" t="s">
        <v>10</v>
      </c>
      <c r="C80">
        <v>170</v>
      </c>
      <c r="D80" t="s">
        <v>42</v>
      </c>
      <c r="E80">
        <v>0.92214285714285704</v>
      </c>
      <c r="F80">
        <v>0.99391833188531697</v>
      </c>
      <c r="G80">
        <v>0.91813804173354696</v>
      </c>
      <c r="H80">
        <v>0.95452649144764201</v>
      </c>
      <c r="I80">
        <v>0.96776958996060103</v>
      </c>
      <c r="J80" s="2">
        <f t="shared" si="1"/>
        <v>116.7769589960601</v>
      </c>
      <c r="K80">
        <f t="shared" si="3"/>
        <v>8.1095110413930624E-2</v>
      </c>
    </row>
    <row r="81" spans="1:11">
      <c r="A81" t="s">
        <v>11</v>
      </c>
      <c r="B81" t="s">
        <v>10</v>
      </c>
      <c r="C81">
        <v>220</v>
      </c>
      <c r="D81" t="s">
        <v>42</v>
      </c>
      <c r="E81">
        <v>0.90571428571428503</v>
      </c>
      <c r="F81">
        <v>0.98938053097345102</v>
      </c>
      <c r="G81">
        <v>0.90306946688206702</v>
      </c>
      <c r="H81">
        <v>0.94425675675675602</v>
      </c>
      <c r="I81">
        <v>0.97272582221424397</v>
      </c>
      <c r="J81" s="2">
        <f t="shared" si="1"/>
        <v>117.2725822214244</v>
      </c>
      <c r="K81">
        <f t="shared" si="3"/>
        <v>8.14392932093225E-2</v>
      </c>
    </row>
    <row r="82" spans="1:11">
      <c r="A82" t="s">
        <v>11</v>
      </c>
      <c r="B82" t="s">
        <v>10</v>
      </c>
      <c r="C82">
        <v>228</v>
      </c>
      <c r="D82" t="s">
        <v>42</v>
      </c>
      <c r="E82">
        <v>0.90071428571428502</v>
      </c>
      <c r="F82">
        <v>0.98836168307967698</v>
      </c>
      <c r="G82">
        <v>0.89756097560975601</v>
      </c>
      <c r="H82">
        <v>0.94077545803152895</v>
      </c>
      <c r="I82">
        <v>0.96837637494022</v>
      </c>
      <c r="J82" s="2">
        <f t="shared" si="1"/>
        <v>116.837637494022</v>
      </c>
      <c r="K82">
        <f t="shared" si="3"/>
        <v>8.1137248259737504E-2</v>
      </c>
    </row>
    <row r="83" spans="1:11">
      <c r="A83" t="s">
        <v>8</v>
      </c>
      <c r="B83" t="s">
        <v>6</v>
      </c>
      <c r="C83">
        <v>2</v>
      </c>
      <c r="D83" t="s">
        <v>42</v>
      </c>
      <c r="E83">
        <v>0.70214285714285696</v>
      </c>
      <c r="F83">
        <v>0.89130434782608603</v>
      </c>
      <c r="G83">
        <v>0.75742971887550203</v>
      </c>
      <c r="H83">
        <v>0.81893182805036902</v>
      </c>
      <c r="I83">
        <v>0.53485943775100397</v>
      </c>
      <c r="J83" s="2">
        <f t="shared" si="1"/>
        <v>73.485943775100395</v>
      </c>
      <c r="K83">
        <f t="shared" si="3"/>
        <v>5.1031905399375271E-2</v>
      </c>
    </row>
    <row r="84" spans="1:11">
      <c r="A84" t="s">
        <v>8</v>
      </c>
      <c r="B84" t="s">
        <v>6</v>
      </c>
      <c r="C84">
        <v>2</v>
      </c>
      <c r="D84" t="s">
        <v>42</v>
      </c>
      <c r="E84">
        <v>0.71499999999999997</v>
      </c>
      <c r="F84">
        <v>0.89022140221402202</v>
      </c>
      <c r="G84">
        <v>0.77510040160642502</v>
      </c>
      <c r="H84">
        <v>0.82868183769858295</v>
      </c>
      <c r="I84">
        <v>0.536237854644384</v>
      </c>
      <c r="J84" s="2">
        <f t="shared" si="1"/>
        <v>73.623785464438399</v>
      </c>
      <c r="K84">
        <f t="shared" si="3"/>
        <v>5.1127628794748886E-2</v>
      </c>
    </row>
    <row r="85" spans="1:11">
      <c r="A85" t="s">
        <v>8</v>
      </c>
      <c r="B85" t="s">
        <v>6</v>
      </c>
      <c r="C85">
        <v>2</v>
      </c>
      <c r="D85" t="s">
        <v>42</v>
      </c>
      <c r="E85">
        <v>0.70785714285714196</v>
      </c>
      <c r="F85">
        <v>0.89065420560747599</v>
      </c>
      <c r="G85">
        <v>0.76546184738955803</v>
      </c>
      <c r="H85">
        <v>0.82332613390928699</v>
      </c>
      <c r="I85">
        <v>0.54401347324783</v>
      </c>
      <c r="J85" s="2">
        <f t="shared" si="1"/>
        <v>74.401347324783004</v>
      </c>
      <c r="K85">
        <f t="shared" si="3"/>
        <v>5.1667602308877091E-2</v>
      </c>
    </row>
    <row r="86" spans="1:11">
      <c r="A86" t="s">
        <v>8</v>
      </c>
      <c r="B86" t="s">
        <v>6</v>
      </c>
      <c r="C86">
        <v>2</v>
      </c>
      <c r="D86" t="s">
        <v>42</v>
      </c>
      <c r="E86">
        <v>0.71785714285714197</v>
      </c>
      <c r="F86">
        <v>0.890625</v>
      </c>
      <c r="G86">
        <v>0.77831325301204801</v>
      </c>
      <c r="H86">
        <v>0.83069009858551202</v>
      </c>
      <c r="I86">
        <v>0.53985490348490695</v>
      </c>
      <c r="J86" s="2">
        <f t="shared" si="1"/>
        <v>73.985490348490686</v>
      </c>
      <c r="K86">
        <f t="shared" si="3"/>
        <v>5.1378812742007424E-2</v>
      </c>
    </row>
    <row r="87" spans="1:11">
      <c r="A87" t="s">
        <v>8</v>
      </c>
      <c r="B87" t="s">
        <v>6</v>
      </c>
      <c r="C87">
        <v>2</v>
      </c>
      <c r="D87" t="s">
        <v>42</v>
      </c>
      <c r="E87">
        <v>0.72071428571428497</v>
      </c>
      <c r="F87">
        <v>0.89174311926605498</v>
      </c>
      <c r="G87">
        <v>0.78072289156626495</v>
      </c>
      <c r="H87">
        <v>0.83254817987151997</v>
      </c>
      <c r="I87">
        <v>0.53740639979271898</v>
      </c>
      <c r="J87" s="2">
        <f t="shared" si="1"/>
        <v>73.74063997927189</v>
      </c>
      <c r="K87">
        <f t="shared" si="3"/>
        <v>5.1208777763383256E-2</v>
      </c>
    </row>
    <row r="88" spans="1:11">
      <c r="A88" t="s">
        <v>8</v>
      </c>
      <c r="B88" t="s">
        <v>6</v>
      </c>
      <c r="C88">
        <v>2</v>
      </c>
      <c r="D88" t="s">
        <v>42</v>
      </c>
      <c r="E88">
        <v>0.71071428571428497</v>
      </c>
      <c r="F88">
        <v>0.88817005545286498</v>
      </c>
      <c r="G88">
        <v>0.77188755020080302</v>
      </c>
      <c r="H88">
        <v>0.82595616673828898</v>
      </c>
      <c r="I88">
        <v>0.52737142116854496</v>
      </c>
      <c r="J88" s="2">
        <f t="shared" si="1"/>
        <v>72.7371421168545</v>
      </c>
      <c r="K88">
        <f t="shared" si="3"/>
        <v>5.0511904247815625E-2</v>
      </c>
    </row>
    <row r="89" spans="1:11">
      <c r="A89" t="s">
        <v>8</v>
      </c>
      <c r="B89" t="s">
        <v>6</v>
      </c>
      <c r="C89">
        <v>2</v>
      </c>
      <c r="D89" t="s">
        <v>42</v>
      </c>
      <c r="E89">
        <v>0.71285714285714197</v>
      </c>
      <c r="F89">
        <v>0.89063948100092605</v>
      </c>
      <c r="G89">
        <v>0.77188755020080302</v>
      </c>
      <c r="H89">
        <v>0.82702237521514599</v>
      </c>
      <c r="I89">
        <v>0.51527399922269701</v>
      </c>
      <c r="J89" s="2">
        <f t="shared" si="1"/>
        <v>71.527399922269694</v>
      </c>
      <c r="K89">
        <f t="shared" si="3"/>
        <v>4.9671805501576176E-2</v>
      </c>
    </row>
    <row r="90" spans="1:11">
      <c r="A90" t="s">
        <v>8</v>
      </c>
      <c r="B90" t="s">
        <v>6</v>
      </c>
      <c r="C90">
        <v>2</v>
      </c>
      <c r="D90" t="s">
        <v>42</v>
      </c>
      <c r="E90">
        <v>0.7</v>
      </c>
      <c r="F90">
        <v>0.89099526066350698</v>
      </c>
      <c r="G90">
        <v>0.75502008032128498</v>
      </c>
      <c r="H90">
        <v>0.81739130434782603</v>
      </c>
      <c r="I90">
        <v>0.52883275035626298</v>
      </c>
      <c r="J90" s="2">
        <f t="shared" si="1"/>
        <v>72.883275035626298</v>
      </c>
      <c r="K90">
        <f t="shared" si="3"/>
        <v>5.0613385441407151E-2</v>
      </c>
    </row>
    <row r="91" spans="1:11">
      <c r="A91" t="s">
        <v>8</v>
      </c>
      <c r="B91" t="s">
        <v>6</v>
      </c>
      <c r="C91">
        <v>2</v>
      </c>
      <c r="D91" t="s">
        <v>42</v>
      </c>
      <c r="E91">
        <v>0.68071428571428505</v>
      </c>
      <c r="F91">
        <v>0.89349112426035504</v>
      </c>
      <c r="G91">
        <v>0.72771084337349401</v>
      </c>
      <c r="H91">
        <v>0.80212483399734302</v>
      </c>
      <c r="I91">
        <v>0.53936520274646904</v>
      </c>
      <c r="J91" s="2">
        <f t="shared" si="1"/>
        <v>73.936520274646909</v>
      </c>
      <c r="K91">
        <f t="shared" si="3"/>
        <v>5.1344805746282578E-2</v>
      </c>
    </row>
    <row r="92" spans="1:11">
      <c r="A92" t="s">
        <v>8</v>
      </c>
      <c r="B92" t="s">
        <v>6</v>
      </c>
      <c r="C92">
        <v>2</v>
      </c>
      <c r="D92" t="s">
        <v>42</v>
      </c>
      <c r="E92">
        <v>0.70214285714285696</v>
      </c>
      <c r="F92">
        <v>0.88691588785046704</v>
      </c>
      <c r="G92">
        <v>0.76224899598393503</v>
      </c>
      <c r="H92">
        <v>0.81987041036717001</v>
      </c>
      <c r="I92">
        <v>0.52155201450965105</v>
      </c>
      <c r="J92" s="2">
        <f t="shared" si="1"/>
        <v>72.155201450965109</v>
      </c>
      <c r="K92">
        <f t="shared" si="3"/>
        <v>5.0107778785392437E-2</v>
      </c>
    </row>
  </sheetData>
  <autoFilter ref="A1:K9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 Xavier</cp:lastModifiedBy>
  <dcterms:created xsi:type="dcterms:W3CDTF">2025-01-05T18:41:00Z</dcterms:created>
  <dcterms:modified xsi:type="dcterms:W3CDTF">2025-02-09T14:16:29Z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FDE1F5179B1F4BF9A88CA23359CD9FEC_11</vt:lpwstr>
  </property>
  <property fmtid="{D5CDD505-2E9C-101B-9397-08002B2CF9AE}" pid="3" name="KSOProductBuildVer">
    <vt:lpwstr>1046-12.2.0.19805</vt:lpwstr>
  </property>
</Properties>
</file>