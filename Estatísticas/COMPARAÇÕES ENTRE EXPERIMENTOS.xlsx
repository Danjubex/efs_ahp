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180"/>
  </bookViews>
  <sheets>
    <sheet name="COMPILADO" sheetId="1" r:id="rId1"/>
    <sheet name="CÁLCULOS" sheetId="2" r:id="rId2"/>
    <sheet name="GRID SEARCH" sheetId="5" r:id="rId3"/>
  </sheets>
  <definedNames>
    <definedName name="_xlnm._FilterDatabase" localSheetId="1" hidden="1">CÁLCULOS!$A$5:$T$33</definedName>
    <definedName name="_xlnm._FilterDatabase" localSheetId="2" hidden="1">'GRID SEARCH'!$H$7:$Q$59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<sst xmlns="http://schemas.openxmlformats.org/spreadsheetml/2006/main" count="503" uniqueCount="100">
  <si>
    <t>Exp</t>
  </si>
  <si>
    <t>Tipo</t>
  </si>
  <si>
    <t>Algoritmo</t>
  </si>
  <si>
    <t>Features (MANNWHITNEY)</t>
  </si>
  <si>
    <t>Features (WILCOXON)</t>
  </si>
  <si>
    <t>Features (T STUDENT)</t>
  </si>
  <si>
    <t>R²  (MANNWHITNEY)</t>
  </si>
  <si>
    <t>R² (WILCOXON)</t>
  </si>
  <si>
    <t>R² (T STUDENT)</t>
  </si>
  <si>
    <t>Tempo (min) (MANNWHITNEY)</t>
  </si>
  <si>
    <t>Tempo (min) (WILCOXON)</t>
  </si>
  <si>
    <t>Tempo (min) (T STUDENT)</t>
  </si>
  <si>
    <t>Acurácia  (MANNWHITNEY)</t>
  </si>
  <si>
    <t>Acurácia  (WILCOXON)</t>
  </si>
  <si>
    <t>Acurácia  (T_STUDENT)</t>
  </si>
  <si>
    <t>AUC ROC (MANNWHITNEY)</t>
  </si>
  <si>
    <t>AUC ROC (WILCOXON)</t>
  </si>
  <si>
    <t>AUC ROC (T_STUDENT)</t>
  </si>
  <si>
    <t>Features</t>
  </si>
  <si>
    <t>R²</t>
  </si>
  <si>
    <t xml:space="preserve">Tempo (min) </t>
  </si>
  <si>
    <t xml:space="preserve">Acurácia  </t>
  </si>
  <si>
    <t xml:space="preserve">AUC ROC </t>
  </si>
  <si>
    <t>Regressão</t>
  </si>
  <si>
    <t>OUTRA_TESE</t>
  </si>
  <si>
    <t>RANDOM_SEARCH</t>
  </si>
  <si>
    <t>PCA</t>
  </si>
  <si>
    <t>UMAP</t>
  </si>
  <si>
    <t>TSNE</t>
  </si>
  <si>
    <t>LASSO</t>
  </si>
  <si>
    <t>RF_FEATURE_IMPORTANCE</t>
  </si>
  <si>
    <t>CORRELATION</t>
  </si>
  <si>
    <t>Classificação</t>
  </si>
  <si>
    <t>COMPARAÇÃO GERAL</t>
  </si>
  <si>
    <t>Linguagem</t>
  </si>
  <si>
    <t>Tipo FS</t>
  </si>
  <si>
    <t>Tipo ML</t>
  </si>
  <si>
    <t>JAVASCRIPT</t>
  </si>
  <si>
    <t>algoritmos_evolutivos</t>
  </si>
  <si>
    <r>
      <rPr>
        <sz val="11"/>
        <color rgb="FF000000"/>
        <rFont val="Calibri"/>
        <charset val="134"/>
        <scheme val="minor"/>
      </rPr>
      <t>[EFS-AHP]DEC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1</t>
    </r>
  </si>
  <si>
    <t>Resultados Melhores</t>
  </si>
  <si>
    <r>
      <rPr>
        <sz val="11"/>
        <color rgb="FF000000"/>
        <rFont val="Calibri"/>
        <charset val="134"/>
        <scheme val="minor"/>
      </rPr>
      <t>[EFS-AHP]DEC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2</t>
    </r>
  </si>
  <si>
    <t>CONTAGEM (TOTAL)</t>
  </si>
  <si>
    <t>[EFS-AHP]DEC 3</t>
  </si>
  <si>
    <t>PERCENTUAL</t>
  </si>
  <si>
    <t>LAPPAS &amp; YANNACOPOULOS</t>
  </si>
  <si>
    <r>
      <rPr>
        <sz val="11"/>
        <color rgb="FF000000"/>
        <rFont val="Calibri"/>
        <charset val="134"/>
        <scheme val="minor"/>
      </rPr>
      <t>RANDOM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SEARCH</t>
    </r>
  </si>
  <si>
    <t>algoritmos_redutores_dimensionalidade</t>
  </si>
  <si>
    <t>algoritmos_selecionadores</t>
  </si>
  <si>
    <t>[RF] FEATURE IMPORTANCE</t>
  </si>
  <si>
    <t>PYTHON</t>
  </si>
  <si>
    <t>COMPARAÇÃO POR ALGORITMO</t>
  </si>
  <si>
    <t>EFS_AHP_RANDOM_DEC_1</t>
  </si>
  <si>
    <t>EFS_AHP_RANDOM_DEC_2</t>
  </si>
  <si>
    <t>EFS_AHP_RANDOM_DEC_3</t>
  </si>
  <si>
    <t>EXPERIMENTO</t>
  </si>
  <si>
    <t>ALGORITMO</t>
  </si>
  <si>
    <t>PARÂMETRO</t>
  </si>
  <si>
    <t>OPÇÃO 1</t>
  </si>
  <si>
    <t>OPÇÃO 2</t>
  </si>
  <si>
    <t>OPÇÃO 3</t>
  </si>
  <si>
    <t>OPÇÃO 4</t>
  </si>
  <si>
    <t>OPÇÃO 5</t>
  </si>
  <si>
    <t>OPÇÃO 6</t>
  </si>
  <si>
    <t>OPÇÃO 7</t>
  </si>
  <si>
    <t>AG</t>
  </si>
  <si>
    <t>População</t>
  </si>
  <si>
    <t>Gerações</t>
  </si>
  <si>
    <t>Mutação</t>
  </si>
  <si>
    <t>Crossover</t>
  </si>
  <si>
    <t>Random Forest</t>
  </si>
  <si>
    <t>Estimators</t>
  </si>
  <si>
    <t>Max Features</t>
  </si>
  <si>
    <t>Replacement</t>
  </si>
  <si>
    <t>Componentes</t>
  </si>
  <si>
    <t>Vizinhos</t>
  </si>
  <si>
    <t>Distância Mínima</t>
  </si>
  <si>
    <t>Interações</t>
  </si>
  <si>
    <t>Alpha</t>
  </si>
  <si>
    <t>[RF] Feature Importance</t>
  </si>
  <si>
    <t>Limiar</t>
  </si>
  <si>
    <t>Correlation</t>
  </si>
  <si>
    <t>Redes Neurais Artificiais</t>
  </si>
  <si>
    <t>Função de Ativação</t>
  </si>
  <si>
    <t>LOGÍSTICA</t>
  </si>
  <si>
    <t>HIPERBÓLICA</t>
  </si>
  <si>
    <t>Taxa de Aprendizado</t>
  </si>
  <si>
    <t>0.3</t>
  </si>
  <si>
    <t>0.4</t>
  </si>
  <si>
    <t>0.5</t>
  </si>
  <si>
    <t>Momentum</t>
  </si>
  <si>
    <t>0.2</t>
  </si>
  <si>
    <t>0.8</t>
  </si>
  <si>
    <t>Perplexidade</t>
  </si>
  <si>
    <t>Max Depth</t>
  </si>
  <si>
    <t>None</t>
  </si>
  <si>
    <t>Min Samples Split</t>
  </si>
  <si>
    <t>sqrt</t>
  </si>
  <si>
    <t>log2</t>
  </si>
  <si>
    <t>Min Samples Leaf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</si>
</sst>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Wingdings"/>
      <charset val="134"/>
    </font>
    <font>
      <sz val="11"/>
      <color theme="1"/>
      <name val="Times New Roman"/>
      <charset val="134"/>
    </font>
    <font>
      <sz val="2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sz val="11"/>
      <color rgb="FF0070C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3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5" borderId="17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  <xf numFmtId="0" fontId="0" fillId="0" borderId="0" xfId="0" applyFont="1" applyFill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Fill="1" applyBorder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0" fillId="0" borderId="0" xfId="0" applyFont="1" applyFill="1" applyAlignment="1"/>
    <xf numFmtId="0" fontId="8" fillId="0" borderId="0" xfId="0" applyFont="1"/>
    <xf numFmtId="0" fontId="0" fillId="2" borderId="0" xfId="0" applyFont="1" applyFill="1" applyAlignment="1"/>
    <xf numFmtId="0" fontId="1" fillId="0" borderId="0" xfId="0" applyFont="1"/>
    <xf numFmtId="0" fontId="4" fillId="0" borderId="4" xfId="0" applyFont="1" applyBorder="1" applyAlignment="1">
      <alignment horizontal="center"/>
    </xf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7" xfId="0" applyFont="1" applyFill="1" applyBorder="1" applyAlignment="1">
      <alignment wrapText="1"/>
    </xf>
    <xf numFmtId="0" fontId="0" fillId="0" borderId="8" xfId="0" applyFont="1" applyFill="1" applyBorder="1" applyAlignment="1">
      <alignment wrapText="1"/>
    </xf>
    <xf numFmtId="10" fontId="1" fillId="0" borderId="9" xfId="3" applyNumberFormat="1" applyFont="1" applyBorder="1" applyAlignment="1"/>
    <xf numFmtId="0" fontId="0" fillId="0" borderId="0" xfId="0" applyBorder="1"/>
    <xf numFmtId="0" fontId="1" fillId="0" borderId="10" xfId="0" applyFont="1" applyBorder="1"/>
    <xf numFmtId="0" fontId="0" fillId="0" borderId="11" xfId="0" applyBorder="1"/>
    <xf numFmtId="0" fontId="1" fillId="0" borderId="11" xfId="0" applyFont="1" applyBorder="1"/>
    <xf numFmtId="10" fontId="1" fillId="0" borderId="12" xfId="3" applyNumberFormat="1" applyFont="1" applyBorder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6"/>
  <sheetViews>
    <sheetView tabSelected="1" zoomScale="90" zoomScaleNormal="90" workbookViewId="0">
      <selection activeCell="F22" sqref="F22"/>
    </sheetView>
  </sheetViews>
  <sheetFormatPr defaultColWidth="9" defaultRowHeight="15"/>
  <cols>
    <col min="1" max="1" width="5.28571428571429" customWidth="1"/>
    <col min="2" max="2" width="11.8571428571429" customWidth="1"/>
    <col min="3" max="3" width="25.4285714285714" customWidth="1"/>
    <col min="4" max="5" width="16.7142857142857" customWidth="1"/>
    <col min="6" max="6" width="13.4285714285714" customWidth="1"/>
    <col min="7" max="7" width="16.4285714285714" customWidth="1"/>
    <col min="8" max="8" width="12.7142857142857" customWidth="1"/>
    <col min="9" max="9" width="10.4285714285714" customWidth="1"/>
    <col min="10" max="10" width="17.5714285714286" customWidth="1"/>
    <col min="11" max="12" width="16.1428571428571" customWidth="1"/>
    <col min="13" max="13" width="16.7142857142857" customWidth="1"/>
    <col min="14" max="14" width="13" customWidth="1"/>
    <col min="15" max="15" width="12.8571428571429" customWidth="1"/>
    <col min="16" max="16" width="16.7142857142857" customWidth="1"/>
    <col min="17" max="17" width="13.7142857142857" customWidth="1"/>
    <col min="18" max="18" width="14.8571428571429" customWidth="1"/>
    <col min="19" max="19" width="10.5714285714286" customWidth="1"/>
    <col min="20" max="20" width="5" customWidth="1"/>
    <col min="21" max="21" width="13.7142857142857" customWidth="1"/>
  </cols>
  <sheetData>
    <row r="1" spans="19:23">
      <c r="S1">
        <f>SUBTOTAL(9,S3:S18)</f>
        <v>16</v>
      </c>
      <c r="T1">
        <f>SUBTOTAL(9,T3:T18)</f>
        <v>20</v>
      </c>
      <c r="U1">
        <f>SUBTOTAL(9,U3:U18)</f>
        <v>8</v>
      </c>
      <c r="V1">
        <f>SUBTOTAL(9,V3:V18)</f>
        <v>0</v>
      </c>
      <c r="W1">
        <f>SUBTOTAL(9,W3:W18)</f>
        <v>0</v>
      </c>
    </row>
    <row r="2" ht="33" customHeight="1" spans="1:23">
      <c r="A2" t="s">
        <v>0</v>
      </c>
      <c r="B2" t="s">
        <v>1</v>
      </c>
      <c r="C2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</row>
    <row r="3" spans="1:23">
      <c r="A3">
        <v>1</v>
      </c>
      <c r="B3" t="s">
        <v>23</v>
      </c>
      <c r="C3" t="s">
        <v>24</v>
      </c>
      <c r="D3">
        <v>1</v>
      </c>
      <c r="E3">
        <v>1</v>
      </c>
      <c r="F3" s="16">
        <v>0</v>
      </c>
      <c r="G3" s="16">
        <v>0</v>
      </c>
      <c r="H3" s="16">
        <v>0</v>
      </c>
      <c r="I3">
        <v>1</v>
      </c>
      <c r="J3" s="15">
        <v>1</v>
      </c>
      <c r="K3" s="15">
        <v>1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>
        <f t="shared" ref="S3:S10" si="0">D3+E3+F3</f>
        <v>2</v>
      </c>
      <c r="T3">
        <f t="shared" ref="T3:T10" si="1">G3+H3+I3</f>
        <v>1</v>
      </c>
      <c r="U3">
        <f t="shared" ref="U3:U10" si="2">J3+K3+L3</f>
        <v>2</v>
      </c>
      <c r="V3">
        <f>M3+N3+O3</f>
        <v>0</v>
      </c>
      <c r="W3">
        <f>P3+R3+Q3</f>
        <v>0</v>
      </c>
    </row>
    <row r="4" spans="1:23">
      <c r="A4">
        <v>1</v>
      </c>
      <c r="B4" t="s">
        <v>23</v>
      </c>
      <c r="C4" t="s">
        <v>25</v>
      </c>
      <c r="D4">
        <v>1</v>
      </c>
      <c r="E4">
        <v>1</v>
      </c>
      <c r="F4" s="16">
        <v>0</v>
      </c>
      <c r="G4" s="16">
        <v>0</v>
      </c>
      <c r="H4" s="16">
        <v>0</v>
      </c>
      <c r="I4">
        <v>1</v>
      </c>
      <c r="J4" s="15">
        <v>1</v>
      </c>
      <c r="K4" s="15">
        <v>1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>
        <f t="shared" si="0"/>
        <v>2</v>
      </c>
      <c r="T4">
        <f t="shared" si="1"/>
        <v>1</v>
      </c>
      <c r="U4">
        <f t="shared" si="2"/>
        <v>2</v>
      </c>
      <c r="V4">
        <f t="shared" ref="V4:V10" si="3">M4+N4+O4</f>
        <v>0</v>
      </c>
      <c r="W4">
        <f t="shared" ref="W4:W10" si="4">P4+R4+Q4</f>
        <v>0</v>
      </c>
    </row>
    <row r="5" spans="1:23">
      <c r="A5">
        <v>1</v>
      </c>
      <c r="B5" t="s">
        <v>23</v>
      </c>
      <c r="C5" t="s">
        <v>26</v>
      </c>
      <c r="D5">
        <v>1</v>
      </c>
      <c r="E5">
        <v>1</v>
      </c>
      <c r="F5" s="16">
        <v>0</v>
      </c>
      <c r="G5" s="16">
        <v>0</v>
      </c>
      <c r="H5" s="16">
        <v>0</v>
      </c>
      <c r="I5">
        <v>1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>
        <f t="shared" si="0"/>
        <v>2</v>
      </c>
      <c r="T5">
        <f t="shared" si="1"/>
        <v>1</v>
      </c>
      <c r="U5">
        <f t="shared" si="2"/>
        <v>0</v>
      </c>
      <c r="V5">
        <f t="shared" si="3"/>
        <v>0</v>
      </c>
      <c r="W5">
        <f t="shared" si="4"/>
        <v>0</v>
      </c>
    </row>
    <row r="6" spans="1:23">
      <c r="A6">
        <v>1</v>
      </c>
      <c r="B6" t="s">
        <v>23</v>
      </c>
      <c r="C6" t="s">
        <v>27</v>
      </c>
      <c r="D6">
        <v>1</v>
      </c>
      <c r="E6">
        <v>1</v>
      </c>
      <c r="F6" s="16">
        <v>0</v>
      </c>
      <c r="G6" s="16">
        <v>0</v>
      </c>
      <c r="H6" s="16">
        <v>0</v>
      </c>
      <c r="I6">
        <v>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>
        <f t="shared" si="0"/>
        <v>2</v>
      </c>
      <c r="T6">
        <f t="shared" si="1"/>
        <v>1</v>
      </c>
      <c r="U6">
        <f t="shared" si="2"/>
        <v>0</v>
      </c>
      <c r="V6">
        <f t="shared" si="3"/>
        <v>0</v>
      </c>
      <c r="W6">
        <f t="shared" si="4"/>
        <v>0</v>
      </c>
    </row>
    <row r="7" spans="1:23">
      <c r="A7">
        <v>1</v>
      </c>
      <c r="B7" t="s">
        <v>23</v>
      </c>
      <c r="C7" t="s">
        <v>28</v>
      </c>
      <c r="D7">
        <v>-1</v>
      </c>
      <c r="E7">
        <v>-1</v>
      </c>
      <c r="F7" s="16">
        <v>0</v>
      </c>
      <c r="G7" s="16">
        <v>0</v>
      </c>
      <c r="H7" s="16">
        <v>0</v>
      </c>
      <c r="I7">
        <v>1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>
        <f t="shared" si="0"/>
        <v>-2</v>
      </c>
      <c r="T7">
        <f t="shared" si="1"/>
        <v>1</v>
      </c>
      <c r="U7">
        <f t="shared" si="2"/>
        <v>0</v>
      </c>
      <c r="V7">
        <f t="shared" si="3"/>
        <v>0</v>
      </c>
      <c r="W7">
        <f t="shared" si="4"/>
        <v>0</v>
      </c>
    </row>
    <row r="8" spans="1:23">
      <c r="A8">
        <v>1</v>
      </c>
      <c r="B8" t="s">
        <v>23</v>
      </c>
      <c r="C8" t="s">
        <v>29</v>
      </c>
      <c r="D8">
        <v>1</v>
      </c>
      <c r="E8">
        <v>1</v>
      </c>
      <c r="F8" s="16">
        <v>0</v>
      </c>
      <c r="G8" s="16">
        <v>0</v>
      </c>
      <c r="H8" s="16">
        <v>0</v>
      </c>
      <c r="I8">
        <v>1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>
        <f t="shared" si="0"/>
        <v>2</v>
      </c>
      <c r="T8">
        <f t="shared" si="1"/>
        <v>1</v>
      </c>
      <c r="U8">
        <f t="shared" si="2"/>
        <v>0</v>
      </c>
      <c r="V8">
        <f t="shared" si="3"/>
        <v>0</v>
      </c>
      <c r="W8">
        <f t="shared" si="4"/>
        <v>0</v>
      </c>
    </row>
    <row r="9" spans="1:23">
      <c r="A9">
        <v>1</v>
      </c>
      <c r="B9" t="s">
        <v>23</v>
      </c>
      <c r="C9" t="s">
        <v>30</v>
      </c>
      <c r="D9">
        <v>1</v>
      </c>
      <c r="E9">
        <v>1</v>
      </c>
      <c r="F9" s="16">
        <v>0</v>
      </c>
      <c r="G9" s="16">
        <v>0</v>
      </c>
      <c r="H9" s="16">
        <v>0</v>
      </c>
      <c r="I9">
        <v>1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>
        <f t="shared" si="0"/>
        <v>2</v>
      </c>
      <c r="T9">
        <f t="shared" si="1"/>
        <v>1</v>
      </c>
      <c r="U9">
        <f t="shared" si="2"/>
        <v>0</v>
      </c>
      <c r="V9">
        <f t="shared" si="3"/>
        <v>0</v>
      </c>
      <c r="W9">
        <f t="shared" si="4"/>
        <v>0</v>
      </c>
    </row>
    <row r="10" spans="1:23">
      <c r="A10">
        <v>1</v>
      </c>
      <c r="B10" t="s">
        <v>23</v>
      </c>
      <c r="C10" t="s">
        <v>31</v>
      </c>
      <c r="D10">
        <v>0</v>
      </c>
      <c r="E10">
        <v>0</v>
      </c>
      <c r="F10" s="16">
        <v>0</v>
      </c>
      <c r="G10" s="16">
        <v>0</v>
      </c>
      <c r="H10" s="16">
        <v>0</v>
      </c>
      <c r="I10">
        <v>1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>
        <f t="shared" si="0"/>
        <v>0</v>
      </c>
      <c r="T10">
        <f t="shared" si="1"/>
        <v>1</v>
      </c>
      <c r="U10">
        <f t="shared" si="2"/>
        <v>0</v>
      </c>
      <c r="V10">
        <f t="shared" si="3"/>
        <v>0</v>
      </c>
      <c r="W10">
        <f t="shared" si="4"/>
        <v>0</v>
      </c>
    </row>
    <row r="11" spans="1:23">
      <c r="A11">
        <v>2</v>
      </c>
      <c r="B11" t="s">
        <v>23</v>
      </c>
      <c r="C11" t="s">
        <v>24</v>
      </c>
      <c r="D11" s="16">
        <v>0</v>
      </c>
      <c r="E11" s="16">
        <v>0</v>
      </c>
      <c r="F11">
        <v>1</v>
      </c>
      <c r="G11">
        <v>0</v>
      </c>
      <c r="H11">
        <v>0</v>
      </c>
      <c r="I11" s="16">
        <v>0</v>
      </c>
      <c r="J11">
        <v>1</v>
      </c>
      <c r="K11">
        <v>1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>
        <f t="shared" ref="S11:S18" si="5">D11+E11+F11</f>
        <v>1</v>
      </c>
      <c r="T11">
        <f t="shared" ref="T11:T18" si="6">G11+H11+I11</f>
        <v>0</v>
      </c>
      <c r="U11">
        <f t="shared" ref="U11:U18" si="7">J11+K11+L11</f>
        <v>2</v>
      </c>
      <c r="V11">
        <f t="shared" ref="V11:V18" si="8">M11+N11+O11</f>
        <v>0</v>
      </c>
      <c r="W11">
        <f t="shared" ref="W11:W18" si="9">P11+R11+Q11</f>
        <v>0</v>
      </c>
    </row>
    <row r="12" spans="1:23">
      <c r="A12">
        <v>2</v>
      </c>
      <c r="B12" t="s">
        <v>23</v>
      </c>
      <c r="C12" t="s">
        <v>25</v>
      </c>
      <c r="D12" s="16">
        <v>0</v>
      </c>
      <c r="E12" s="16">
        <v>0</v>
      </c>
      <c r="F12">
        <v>1</v>
      </c>
      <c r="G12">
        <v>0</v>
      </c>
      <c r="H12">
        <v>0</v>
      </c>
      <c r="I12" s="16">
        <v>0</v>
      </c>
      <c r="J12">
        <v>1</v>
      </c>
      <c r="K12">
        <v>1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>
        <f t="shared" si="5"/>
        <v>1</v>
      </c>
      <c r="T12">
        <f t="shared" si="6"/>
        <v>0</v>
      </c>
      <c r="U12">
        <f t="shared" si="7"/>
        <v>2</v>
      </c>
      <c r="V12">
        <f t="shared" si="8"/>
        <v>0</v>
      </c>
      <c r="W12">
        <f t="shared" si="9"/>
        <v>0</v>
      </c>
    </row>
    <row r="13" spans="1:23">
      <c r="A13">
        <v>2</v>
      </c>
      <c r="B13" t="s">
        <v>23</v>
      </c>
      <c r="C13" t="s">
        <v>26</v>
      </c>
      <c r="D13" s="16">
        <v>0</v>
      </c>
      <c r="E13" s="16">
        <v>0</v>
      </c>
      <c r="F13">
        <v>1</v>
      </c>
      <c r="G13">
        <v>1</v>
      </c>
      <c r="H13">
        <v>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>
        <f t="shared" si="5"/>
        <v>1</v>
      </c>
      <c r="T13">
        <f t="shared" si="6"/>
        <v>2</v>
      </c>
      <c r="U13">
        <f t="shared" si="7"/>
        <v>0</v>
      </c>
      <c r="V13">
        <f t="shared" si="8"/>
        <v>0</v>
      </c>
      <c r="W13">
        <f t="shared" si="9"/>
        <v>0</v>
      </c>
    </row>
    <row r="14" spans="1:23">
      <c r="A14">
        <v>2</v>
      </c>
      <c r="B14" t="s">
        <v>23</v>
      </c>
      <c r="C14" t="s">
        <v>27</v>
      </c>
      <c r="D14" s="16">
        <v>0</v>
      </c>
      <c r="E14" s="16">
        <v>0</v>
      </c>
      <c r="F14">
        <v>-1</v>
      </c>
      <c r="G14">
        <v>1</v>
      </c>
      <c r="H14">
        <v>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>
        <f t="shared" si="5"/>
        <v>-1</v>
      </c>
      <c r="T14">
        <f t="shared" si="6"/>
        <v>2</v>
      </c>
      <c r="U14">
        <f t="shared" si="7"/>
        <v>0</v>
      </c>
      <c r="V14">
        <f t="shared" si="8"/>
        <v>0</v>
      </c>
      <c r="W14">
        <f t="shared" si="9"/>
        <v>0</v>
      </c>
    </row>
    <row r="15" spans="1:23">
      <c r="A15">
        <v>2</v>
      </c>
      <c r="B15" t="s">
        <v>23</v>
      </c>
      <c r="C15" t="s">
        <v>28</v>
      </c>
      <c r="D15" s="16">
        <v>0</v>
      </c>
      <c r="E15" s="16">
        <v>0</v>
      </c>
      <c r="F15">
        <v>1</v>
      </c>
      <c r="G15">
        <v>1</v>
      </c>
      <c r="H15">
        <v>1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>
        <f t="shared" si="5"/>
        <v>1</v>
      </c>
      <c r="T15">
        <f t="shared" si="6"/>
        <v>2</v>
      </c>
      <c r="U15">
        <f t="shared" si="7"/>
        <v>0</v>
      </c>
      <c r="V15">
        <f t="shared" si="8"/>
        <v>0</v>
      </c>
      <c r="W15">
        <f t="shared" si="9"/>
        <v>0</v>
      </c>
    </row>
    <row r="16" spans="1:23">
      <c r="A16">
        <v>2</v>
      </c>
      <c r="B16" t="s">
        <v>23</v>
      </c>
      <c r="C16" t="s">
        <v>29</v>
      </c>
      <c r="D16" s="16">
        <v>0</v>
      </c>
      <c r="E16" s="16">
        <v>0</v>
      </c>
      <c r="F16">
        <v>1</v>
      </c>
      <c r="G16">
        <v>1</v>
      </c>
      <c r="H16">
        <v>1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>
        <f t="shared" si="5"/>
        <v>1</v>
      </c>
      <c r="T16">
        <f t="shared" si="6"/>
        <v>2</v>
      </c>
      <c r="U16">
        <f t="shared" si="7"/>
        <v>0</v>
      </c>
      <c r="V16">
        <f t="shared" si="8"/>
        <v>0</v>
      </c>
      <c r="W16">
        <f t="shared" si="9"/>
        <v>0</v>
      </c>
    </row>
    <row r="17" spans="1:23">
      <c r="A17">
        <v>2</v>
      </c>
      <c r="B17" t="s">
        <v>23</v>
      </c>
      <c r="C17" t="s">
        <v>30</v>
      </c>
      <c r="D17" s="16">
        <v>0</v>
      </c>
      <c r="E17" s="16">
        <v>0</v>
      </c>
      <c r="F17">
        <v>1</v>
      </c>
      <c r="G17">
        <v>1</v>
      </c>
      <c r="H17">
        <v>1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>
        <f t="shared" si="5"/>
        <v>1</v>
      </c>
      <c r="T17">
        <f t="shared" si="6"/>
        <v>2</v>
      </c>
      <c r="U17">
        <f t="shared" si="7"/>
        <v>0</v>
      </c>
      <c r="V17">
        <f t="shared" si="8"/>
        <v>0</v>
      </c>
      <c r="W17">
        <f t="shared" si="9"/>
        <v>0</v>
      </c>
    </row>
    <row r="18" spans="1:23">
      <c r="A18">
        <v>2</v>
      </c>
      <c r="B18" t="s">
        <v>23</v>
      </c>
      <c r="C18" t="s">
        <v>31</v>
      </c>
      <c r="D18" s="16">
        <v>0</v>
      </c>
      <c r="E18" s="16">
        <v>0</v>
      </c>
      <c r="F18">
        <v>1</v>
      </c>
      <c r="G18">
        <v>1</v>
      </c>
      <c r="H18">
        <v>1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>
        <f t="shared" si="5"/>
        <v>1</v>
      </c>
      <c r="T18">
        <f t="shared" si="6"/>
        <v>2</v>
      </c>
      <c r="U18">
        <f t="shared" si="7"/>
        <v>0</v>
      </c>
      <c r="V18">
        <f t="shared" si="8"/>
        <v>0</v>
      </c>
      <c r="W18">
        <f t="shared" si="9"/>
        <v>0</v>
      </c>
    </row>
    <row r="19" spans="1:23">
      <c r="A19">
        <v>3</v>
      </c>
      <c r="B19" t="s">
        <v>32</v>
      </c>
      <c r="C19" t="s">
        <v>24</v>
      </c>
      <c r="D19">
        <v>1</v>
      </c>
      <c r="E19">
        <v>1</v>
      </c>
      <c r="F19" s="16">
        <v>0</v>
      </c>
      <c r="G19" s="16">
        <v>0</v>
      </c>
      <c r="H19" s="16">
        <v>0</v>
      </c>
      <c r="I19" s="16">
        <v>0</v>
      </c>
      <c r="J19">
        <v>1</v>
      </c>
      <c r="K19">
        <v>1</v>
      </c>
      <c r="L19" s="16">
        <v>0</v>
      </c>
      <c r="M19">
        <v>1</v>
      </c>
      <c r="N19">
        <v>1</v>
      </c>
      <c r="O19" s="16">
        <v>0</v>
      </c>
      <c r="P19">
        <v>1</v>
      </c>
      <c r="Q19">
        <v>1</v>
      </c>
      <c r="R19" s="16">
        <v>0</v>
      </c>
      <c r="S19">
        <f t="shared" ref="S19:S26" si="10">D19+E19+F19</f>
        <v>2</v>
      </c>
      <c r="T19">
        <f t="shared" ref="T19:T26" si="11">G19+H19+I19</f>
        <v>0</v>
      </c>
      <c r="U19">
        <f t="shared" ref="U19:U26" si="12">J19+K19+L19</f>
        <v>2</v>
      </c>
      <c r="V19">
        <f t="shared" ref="V19:V26" si="13">M19+N19+O19</f>
        <v>2</v>
      </c>
      <c r="W19">
        <f t="shared" ref="W19:W26" si="14">P19+R19+Q19</f>
        <v>2</v>
      </c>
    </row>
    <row r="20" spans="1:23">
      <c r="A20">
        <v>3</v>
      </c>
      <c r="B20" t="s">
        <v>32</v>
      </c>
      <c r="C20" t="s">
        <v>25</v>
      </c>
      <c r="D20">
        <v>0</v>
      </c>
      <c r="E20">
        <v>0</v>
      </c>
      <c r="F20" s="16">
        <v>0</v>
      </c>
      <c r="G20" s="16">
        <v>0</v>
      </c>
      <c r="H20" s="16">
        <v>0</v>
      </c>
      <c r="I20" s="16">
        <v>0</v>
      </c>
      <c r="J20">
        <v>1</v>
      </c>
      <c r="K20">
        <v>1</v>
      </c>
      <c r="L20" s="16">
        <v>0</v>
      </c>
      <c r="M20">
        <v>0</v>
      </c>
      <c r="N20">
        <v>0</v>
      </c>
      <c r="O20" s="16">
        <v>0</v>
      </c>
      <c r="P20">
        <v>0</v>
      </c>
      <c r="Q20">
        <v>0</v>
      </c>
      <c r="R20" s="16">
        <v>0</v>
      </c>
      <c r="S20">
        <f t="shared" si="10"/>
        <v>0</v>
      </c>
      <c r="T20">
        <f t="shared" si="11"/>
        <v>0</v>
      </c>
      <c r="U20">
        <f t="shared" si="12"/>
        <v>2</v>
      </c>
      <c r="V20">
        <f t="shared" si="13"/>
        <v>0</v>
      </c>
      <c r="W20">
        <f t="shared" si="14"/>
        <v>0</v>
      </c>
    </row>
    <row r="21" spans="1:23">
      <c r="A21">
        <v>3</v>
      </c>
      <c r="B21" t="s">
        <v>32</v>
      </c>
      <c r="C21" t="s">
        <v>26</v>
      </c>
      <c r="D21">
        <v>1</v>
      </c>
      <c r="E21">
        <v>1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>
        <v>1</v>
      </c>
      <c r="N21">
        <v>1</v>
      </c>
      <c r="O21" s="16">
        <v>0</v>
      </c>
      <c r="P21">
        <v>1</v>
      </c>
      <c r="Q21">
        <v>1</v>
      </c>
      <c r="R21" s="16">
        <v>0</v>
      </c>
      <c r="S21">
        <f t="shared" si="10"/>
        <v>2</v>
      </c>
      <c r="T21">
        <f t="shared" si="11"/>
        <v>0</v>
      </c>
      <c r="U21">
        <f t="shared" si="12"/>
        <v>0</v>
      </c>
      <c r="V21">
        <f t="shared" si="13"/>
        <v>2</v>
      </c>
      <c r="W21">
        <f t="shared" si="14"/>
        <v>2</v>
      </c>
    </row>
    <row r="22" spans="1:23">
      <c r="A22">
        <v>3</v>
      </c>
      <c r="B22" t="s">
        <v>32</v>
      </c>
      <c r="C22" t="s">
        <v>27</v>
      </c>
      <c r="D22">
        <v>-1</v>
      </c>
      <c r="E22">
        <v>-1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>
        <v>1</v>
      </c>
      <c r="N22">
        <v>1</v>
      </c>
      <c r="O22" s="16">
        <v>0</v>
      </c>
      <c r="P22">
        <v>1</v>
      </c>
      <c r="Q22">
        <v>1</v>
      </c>
      <c r="R22" s="16">
        <v>0</v>
      </c>
      <c r="S22">
        <f t="shared" si="10"/>
        <v>-2</v>
      </c>
      <c r="T22">
        <f t="shared" si="11"/>
        <v>0</v>
      </c>
      <c r="U22">
        <f t="shared" si="12"/>
        <v>0</v>
      </c>
      <c r="V22">
        <f t="shared" si="13"/>
        <v>2</v>
      </c>
      <c r="W22">
        <f t="shared" si="14"/>
        <v>2</v>
      </c>
    </row>
    <row r="23" spans="1:23">
      <c r="A23">
        <v>3</v>
      </c>
      <c r="B23" t="s">
        <v>32</v>
      </c>
      <c r="C23" t="s">
        <v>28</v>
      </c>
      <c r="D23">
        <v>-1</v>
      </c>
      <c r="E23">
        <v>-1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>
        <v>1</v>
      </c>
      <c r="N23">
        <v>1</v>
      </c>
      <c r="O23" s="16">
        <v>0</v>
      </c>
      <c r="P23">
        <v>1</v>
      </c>
      <c r="Q23">
        <v>1</v>
      </c>
      <c r="R23" s="16">
        <v>0</v>
      </c>
      <c r="S23">
        <f t="shared" si="10"/>
        <v>-2</v>
      </c>
      <c r="T23">
        <f t="shared" si="11"/>
        <v>0</v>
      </c>
      <c r="U23">
        <f t="shared" si="12"/>
        <v>0</v>
      </c>
      <c r="V23">
        <f t="shared" si="13"/>
        <v>2</v>
      </c>
      <c r="W23">
        <f t="shared" si="14"/>
        <v>2</v>
      </c>
    </row>
    <row r="24" spans="1:23">
      <c r="A24">
        <v>3</v>
      </c>
      <c r="B24" t="s">
        <v>32</v>
      </c>
      <c r="C24" t="s">
        <v>29</v>
      </c>
      <c r="D24">
        <v>-1</v>
      </c>
      <c r="E24">
        <v>-1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>
        <v>1</v>
      </c>
      <c r="N24">
        <v>1</v>
      </c>
      <c r="O24" s="16">
        <v>0</v>
      </c>
      <c r="P24">
        <v>1</v>
      </c>
      <c r="Q24">
        <v>1</v>
      </c>
      <c r="R24" s="16">
        <v>0</v>
      </c>
      <c r="S24">
        <f t="shared" si="10"/>
        <v>-2</v>
      </c>
      <c r="T24">
        <f t="shared" si="11"/>
        <v>0</v>
      </c>
      <c r="U24">
        <f t="shared" si="12"/>
        <v>0</v>
      </c>
      <c r="V24">
        <f t="shared" si="13"/>
        <v>2</v>
      </c>
      <c r="W24">
        <f t="shared" si="14"/>
        <v>2</v>
      </c>
    </row>
    <row r="25" spans="1:23">
      <c r="A25">
        <v>3</v>
      </c>
      <c r="B25" t="s">
        <v>32</v>
      </c>
      <c r="C25" t="s">
        <v>30</v>
      </c>
      <c r="D25">
        <v>1</v>
      </c>
      <c r="E25">
        <v>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>
        <v>0</v>
      </c>
      <c r="N25">
        <v>0</v>
      </c>
      <c r="O25" s="16">
        <v>0</v>
      </c>
      <c r="P25">
        <v>-1</v>
      </c>
      <c r="Q25">
        <v>-1</v>
      </c>
      <c r="R25" s="16">
        <v>0</v>
      </c>
      <c r="S25">
        <f t="shared" si="10"/>
        <v>2</v>
      </c>
      <c r="T25">
        <f t="shared" si="11"/>
        <v>0</v>
      </c>
      <c r="U25">
        <f t="shared" si="12"/>
        <v>0</v>
      </c>
      <c r="V25">
        <f t="shared" si="13"/>
        <v>0</v>
      </c>
      <c r="W25">
        <f t="shared" si="14"/>
        <v>-2</v>
      </c>
    </row>
    <row r="26" spans="1:23">
      <c r="A26">
        <v>3</v>
      </c>
      <c r="B26" t="s">
        <v>32</v>
      </c>
      <c r="C26" t="s">
        <v>31</v>
      </c>
      <c r="D26">
        <v>1</v>
      </c>
      <c r="E26">
        <v>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>
        <v>0</v>
      </c>
      <c r="N26">
        <v>-1</v>
      </c>
      <c r="O26" s="16">
        <v>0</v>
      </c>
      <c r="P26">
        <v>0</v>
      </c>
      <c r="Q26">
        <v>0</v>
      </c>
      <c r="R26" s="16">
        <v>0</v>
      </c>
      <c r="S26">
        <f t="shared" si="10"/>
        <v>2</v>
      </c>
      <c r="T26">
        <f t="shared" si="11"/>
        <v>0</v>
      </c>
      <c r="U26">
        <f t="shared" si="12"/>
        <v>0</v>
      </c>
      <c r="V26">
        <f t="shared" si="13"/>
        <v>-1</v>
      </c>
      <c r="W26">
        <f t="shared" si="14"/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75"/>
  <sheetViews>
    <sheetView zoomScale="85" zoomScaleNormal="85" topLeftCell="A3" workbookViewId="0">
      <selection activeCell="P41" sqref="P41:P42"/>
    </sheetView>
  </sheetViews>
  <sheetFormatPr defaultColWidth="9" defaultRowHeight="15"/>
  <cols>
    <col min="1" max="1" width="13.0190476190476" customWidth="1"/>
    <col min="2" max="2" width="39.5142857142857" customWidth="1"/>
    <col min="3" max="3" width="7.13333333333333" customWidth="1"/>
    <col min="4" max="4" width="13.647619047619" customWidth="1"/>
    <col min="5" max="5" width="25.4285714285714" customWidth="1"/>
    <col min="6" max="6" width="16.7142857142857" customWidth="1"/>
    <col min="7" max="7" width="13.4285714285714" customWidth="1"/>
    <col min="8" max="8" width="12.7142857142857" customWidth="1"/>
    <col min="9" max="9" width="10.4285714285714" customWidth="1"/>
    <col min="10" max="11" width="16.1428571428571" customWidth="1"/>
    <col min="12" max="12" width="13" customWidth="1"/>
    <col min="13" max="13" width="12.8571428571429" customWidth="1"/>
    <col min="14" max="14" width="13.7142857142857" customWidth="1"/>
    <col min="15" max="15" width="14.8571428571429" customWidth="1"/>
    <col min="16" max="16" width="11.5809523809524" customWidth="1"/>
    <col min="17" max="17" width="9.04761904761905" customWidth="1"/>
    <col min="18" max="18" width="13.7142857142857" customWidth="1"/>
    <col min="19" max="20" width="12.8571428571429"/>
    <col min="21" max="21" width="9.03809523809524" customWidth="1"/>
    <col min="22" max="22" width="20.6285714285714" customWidth="1"/>
    <col min="23" max="23" width="12.8571428571429"/>
    <col min="24" max="24" width="10.6285714285714" customWidth="1"/>
    <col min="25" max="25" width="14.752380952381" customWidth="1"/>
  </cols>
  <sheetData>
    <row r="2" ht="33" customHeight="1" spans="6:14">
      <c r="F2" s="8"/>
      <c r="G2" s="8"/>
      <c r="H2" s="8"/>
      <c r="I2" s="8"/>
      <c r="J2" s="8"/>
      <c r="K2" s="8"/>
      <c r="L2" s="8"/>
      <c r="M2" s="8"/>
      <c r="N2" s="8"/>
    </row>
    <row r="3" ht="33" customHeight="1" spans="6:14">
      <c r="F3" s="8"/>
      <c r="G3" s="8"/>
      <c r="H3" s="8"/>
      <c r="I3" s="8"/>
      <c r="J3" s="8"/>
      <c r="K3" s="8"/>
      <c r="L3" s="8"/>
      <c r="M3" s="8"/>
      <c r="N3" s="8"/>
    </row>
    <row r="4" ht="33" customHeight="1" spans="1:20">
      <c r="A4" s="9" t="s">
        <v>33</v>
      </c>
      <c r="B4" s="10"/>
      <c r="C4" s="11"/>
      <c r="D4" s="11"/>
      <c r="E4" s="11"/>
      <c r="F4" s="10"/>
      <c r="G4" s="10"/>
      <c r="H4" s="10"/>
      <c r="I4" s="10"/>
      <c r="J4" s="10"/>
      <c r="K4" s="10"/>
      <c r="L4" s="10"/>
      <c r="M4" s="10"/>
      <c r="N4" s="10"/>
      <c r="O4" s="11"/>
      <c r="P4" s="11"/>
      <c r="Q4" s="11"/>
      <c r="R4" s="11"/>
      <c r="S4" s="11"/>
      <c r="T4" s="19"/>
    </row>
    <row r="5" ht="33" customHeight="1" spans="1:27">
      <c r="A5" t="s">
        <v>34</v>
      </c>
      <c r="B5" t="s">
        <v>35</v>
      </c>
      <c r="C5" t="s">
        <v>0</v>
      </c>
      <c r="D5" t="s">
        <v>36</v>
      </c>
      <c r="E5" t="s">
        <v>2</v>
      </c>
      <c r="F5" s="8" t="s">
        <v>4</v>
      </c>
      <c r="G5" s="8" t="s">
        <v>5</v>
      </c>
      <c r="H5" s="8" t="s">
        <v>7</v>
      </c>
      <c r="I5" s="8" t="s">
        <v>8</v>
      </c>
      <c r="J5" s="8" t="s">
        <v>10</v>
      </c>
      <c r="K5" s="8" t="s">
        <v>11</v>
      </c>
      <c r="L5" s="8" t="s">
        <v>13</v>
      </c>
      <c r="M5" s="8" t="s">
        <v>14</v>
      </c>
      <c r="N5" s="8" t="s">
        <v>16</v>
      </c>
      <c r="O5" s="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V5" s="20"/>
      <c r="W5" s="21" t="s">
        <v>18</v>
      </c>
      <c r="X5" s="21" t="s">
        <v>19</v>
      </c>
      <c r="Y5" s="21" t="s">
        <v>20</v>
      </c>
      <c r="Z5" s="21" t="s">
        <v>21</v>
      </c>
      <c r="AA5" s="27" t="s">
        <v>22</v>
      </c>
    </row>
    <row r="6" ht="21" customHeight="1" spans="1:27">
      <c r="A6" t="s">
        <v>37</v>
      </c>
      <c r="B6" s="12" t="s">
        <v>38</v>
      </c>
      <c r="C6">
        <v>1</v>
      </c>
      <c r="D6" t="s">
        <v>23</v>
      </c>
      <c r="E6" s="13" t="s">
        <v>39</v>
      </c>
      <c r="F6" s="8">
        <v>0</v>
      </c>
      <c r="G6" s="14">
        <v>0</v>
      </c>
      <c r="H6" s="14">
        <v>0</v>
      </c>
      <c r="I6" s="8">
        <v>0</v>
      </c>
      <c r="J6" s="17">
        <v>1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7">
        <f t="shared" ref="P6:P17" si="0">F6+G6</f>
        <v>0</v>
      </c>
      <c r="Q6" s="17">
        <f t="shared" ref="Q6:Q11" si="1">H6+I6</f>
        <v>0</v>
      </c>
      <c r="R6" s="17">
        <f t="shared" ref="R6:R17" si="2">J6+K6</f>
        <v>1</v>
      </c>
      <c r="S6" s="17">
        <f t="shared" ref="S6:S17" si="3">L6+M6</f>
        <v>0</v>
      </c>
      <c r="T6" s="17">
        <f t="shared" ref="T6:T18" si="4">O6+N6</f>
        <v>0</v>
      </c>
      <c r="V6" s="22" t="s">
        <v>40</v>
      </c>
      <c r="W6">
        <v>18</v>
      </c>
      <c r="X6">
        <v>14</v>
      </c>
      <c r="Y6">
        <v>10</v>
      </c>
      <c r="Z6">
        <v>5</v>
      </c>
      <c r="AA6" s="28">
        <v>5</v>
      </c>
    </row>
    <row r="7" ht="16" customHeight="1" spans="1:27">
      <c r="A7" t="s">
        <v>37</v>
      </c>
      <c r="B7" s="12" t="s">
        <v>38</v>
      </c>
      <c r="C7">
        <v>1</v>
      </c>
      <c r="D7" t="s">
        <v>23</v>
      </c>
      <c r="E7" s="13" t="s">
        <v>41</v>
      </c>
      <c r="F7" s="8">
        <v>0</v>
      </c>
      <c r="G7" s="14">
        <v>0</v>
      </c>
      <c r="H7" s="14">
        <v>0</v>
      </c>
      <c r="I7" s="8">
        <v>0</v>
      </c>
      <c r="J7" s="17">
        <v>1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7">
        <f t="shared" si="0"/>
        <v>0</v>
      </c>
      <c r="Q7" s="17">
        <f t="shared" si="1"/>
        <v>0</v>
      </c>
      <c r="R7" s="17">
        <f t="shared" si="2"/>
        <v>1</v>
      </c>
      <c r="S7" s="17">
        <f t="shared" si="3"/>
        <v>0</v>
      </c>
      <c r="T7" s="17">
        <f t="shared" si="4"/>
        <v>0</v>
      </c>
      <c r="V7" s="23" t="s">
        <v>42</v>
      </c>
      <c r="W7" s="18">
        <v>23</v>
      </c>
      <c r="X7" s="18">
        <v>14</v>
      </c>
      <c r="Y7" s="18">
        <v>10</v>
      </c>
      <c r="Z7" s="18">
        <v>6</v>
      </c>
      <c r="AA7" s="29">
        <v>6</v>
      </c>
    </row>
    <row r="8" ht="20" customHeight="1" spans="1:27">
      <c r="A8" t="s">
        <v>37</v>
      </c>
      <c r="B8" s="12" t="s">
        <v>38</v>
      </c>
      <c r="C8">
        <v>1</v>
      </c>
      <c r="D8" t="s">
        <v>23</v>
      </c>
      <c r="E8" s="13" t="s">
        <v>43</v>
      </c>
      <c r="F8" s="8">
        <v>0</v>
      </c>
      <c r="G8" s="14">
        <v>0</v>
      </c>
      <c r="H8" s="14">
        <v>0</v>
      </c>
      <c r="I8" s="8">
        <v>0</v>
      </c>
      <c r="J8" s="17">
        <v>1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7">
        <f t="shared" si="0"/>
        <v>0</v>
      </c>
      <c r="Q8" s="17">
        <f t="shared" si="1"/>
        <v>0</v>
      </c>
      <c r="R8" s="17">
        <f t="shared" si="2"/>
        <v>1</v>
      </c>
      <c r="S8" s="17">
        <f t="shared" si="3"/>
        <v>0</v>
      </c>
      <c r="T8" s="17">
        <f t="shared" si="4"/>
        <v>0</v>
      </c>
      <c r="V8" s="24" t="s">
        <v>44</v>
      </c>
      <c r="W8" s="25">
        <f>W6/W7</f>
        <v>0.782608695652174</v>
      </c>
      <c r="X8" s="25">
        <f>X6/X7</f>
        <v>1</v>
      </c>
      <c r="Y8" s="25">
        <f>Y6/Y7</f>
        <v>1</v>
      </c>
      <c r="Z8" s="25">
        <f>Z6/Z7</f>
        <v>0.833333333333333</v>
      </c>
      <c r="AA8" s="30">
        <f>AA6/AA7</f>
        <v>0.833333333333333</v>
      </c>
    </row>
    <row r="9" ht="20" customHeight="1" spans="1:20">
      <c r="A9" t="s">
        <v>37</v>
      </c>
      <c r="B9" s="12" t="s">
        <v>38</v>
      </c>
      <c r="C9">
        <v>1</v>
      </c>
      <c r="D9" t="s">
        <v>23</v>
      </c>
      <c r="E9" s="13" t="s">
        <v>45</v>
      </c>
      <c r="F9" s="15">
        <v>1</v>
      </c>
      <c r="G9" s="14">
        <v>0</v>
      </c>
      <c r="H9" s="14">
        <v>0</v>
      </c>
      <c r="I9" s="17">
        <v>1</v>
      </c>
      <c r="J9" s="17">
        <v>1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7">
        <f t="shared" si="0"/>
        <v>1</v>
      </c>
      <c r="Q9" s="17">
        <f t="shared" si="1"/>
        <v>1</v>
      </c>
      <c r="R9" s="17">
        <f t="shared" si="2"/>
        <v>1</v>
      </c>
      <c r="S9" s="17">
        <f t="shared" si="3"/>
        <v>0</v>
      </c>
      <c r="T9" s="17">
        <f t="shared" si="4"/>
        <v>0</v>
      </c>
    </row>
    <row r="10" spans="1:20">
      <c r="A10" t="s">
        <v>37</v>
      </c>
      <c r="B10" s="12" t="s">
        <v>38</v>
      </c>
      <c r="C10">
        <v>1</v>
      </c>
      <c r="D10" t="s">
        <v>23</v>
      </c>
      <c r="E10" s="13" t="s">
        <v>46</v>
      </c>
      <c r="F10" s="15">
        <v>1</v>
      </c>
      <c r="G10" s="14">
        <v>0</v>
      </c>
      <c r="H10" s="14">
        <v>0</v>
      </c>
      <c r="I10" s="17">
        <v>1</v>
      </c>
      <c r="J10" s="17">
        <v>1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7">
        <f t="shared" si="0"/>
        <v>1</v>
      </c>
      <c r="Q10" s="17">
        <f t="shared" si="1"/>
        <v>1</v>
      </c>
      <c r="R10" s="17">
        <f t="shared" si="2"/>
        <v>1</v>
      </c>
      <c r="S10" s="17">
        <f t="shared" si="3"/>
        <v>0</v>
      </c>
      <c r="T10" s="17">
        <f t="shared" si="4"/>
        <v>0</v>
      </c>
    </row>
    <row r="11" customHeight="1" spans="1:20">
      <c r="A11" t="s">
        <v>37</v>
      </c>
      <c r="B11" s="12" t="s">
        <v>47</v>
      </c>
      <c r="C11">
        <v>1</v>
      </c>
      <c r="D11" t="s">
        <v>23</v>
      </c>
      <c r="E11" s="13" t="s">
        <v>26</v>
      </c>
      <c r="F11" s="15">
        <v>1</v>
      </c>
      <c r="G11" s="14">
        <v>0</v>
      </c>
      <c r="H11" s="14">
        <v>0</v>
      </c>
      <c r="I11" s="17">
        <v>1</v>
      </c>
      <c r="J11" s="14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7">
        <f t="shared" si="0"/>
        <v>1</v>
      </c>
      <c r="Q11" s="17">
        <f t="shared" si="1"/>
        <v>1</v>
      </c>
      <c r="R11" s="17">
        <f t="shared" si="2"/>
        <v>0</v>
      </c>
      <c r="S11" s="17">
        <f t="shared" si="3"/>
        <v>0</v>
      </c>
      <c r="T11" s="17">
        <f t="shared" si="4"/>
        <v>0</v>
      </c>
    </row>
    <row r="12" spans="1:20">
      <c r="A12" t="s">
        <v>37</v>
      </c>
      <c r="B12" s="12" t="s">
        <v>47</v>
      </c>
      <c r="C12">
        <v>1</v>
      </c>
      <c r="D12" t="s">
        <v>23</v>
      </c>
      <c r="E12" s="13" t="s">
        <v>27</v>
      </c>
      <c r="F12" s="15">
        <v>1</v>
      </c>
      <c r="G12" s="14">
        <v>0</v>
      </c>
      <c r="H12" s="14">
        <v>0</v>
      </c>
      <c r="I12" s="17">
        <v>1</v>
      </c>
      <c r="J12" s="14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7">
        <f t="shared" si="0"/>
        <v>1</v>
      </c>
      <c r="Q12" s="17">
        <f t="shared" ref="Q12:Q17" si="5">H12+I12</f>
        <v>1</v>
      </c>
      <c r="R12" s="17">
        <f t="shared" si="2"/>
        <v>0</v>
      </c>
      <c r="S12" s="17">
        <f t="shared" si="3"/>
        <v>0</v>
      </c>
      <c r="T12" s="17">
        <f t="shared" si="4"/>
        <v>0</v>
      </c>
    </row>
    <row r="13" spans="1:20">
      <c r="A13" t="s">
        <v>37</v>
      </c>
      <c r="B13" s="12" t="s">
        <v>47</v>
      </c>
      <c r="C13">
        <v>1</v>
      </c>
      <c r="D13" t="s">
        <v>23</v>
      </c>
      <c r="E13" s="13" t="s">
        <v>28</v>
      </c>
      <c r="F13" s="15">
        <v>-1</v>
      </c>
      <c r="G13" s="14">
        <v>0</v>
      </c>
      <c r="H13" s="14">
        <v>0</v>
      </c>
      <c r="I13" s="17">
        <v>1</v>
      </c>
      <c r="J13" s="14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7">
        <f t="shared" si="0"/>
        <v>-1</v>
      </c>
      <c r="Q13" s="17">
        <f t="shared" si="5"/>
        <v>1</v>
      </c>
      <c r="R13" s="17">
        <f t="shared" si="2"/>
        <v>0</v>
      </c>
      <c r="S13" s="17">
        <f t="shared" si="3"/>
        <v>0</v>
      </c>
      <c r="T13" s="17">
        <f t="shared" si="4"/>
        <v>0</v>
      </c>
    </row>
    <row r="14" spans="1:20">
      <c r="A14" t="s">
        <v>37</v>
      </c>
      <c r="B14" s="12" t="s">
        <v>48</v>
      </c>
      <c r="C14">
        <v>1</v>
      </c>
      <c r="D14" t="s">
        <v>23</v>
      </c>
      <c r="E14" s="13" t="s">
        <v>29</v>
      </c>
      <c r="F14" s="15">
        <v>1</v>
      </c>
      <c r="G14" s="14">
        <v>0</v>
      </c>
      <c r="H14" s="14">
        <v>0</v>
      </c>
      <c r="I14" s="17">
        <v>1</v>
      </c>
      <c r="J14" s="14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7">
        <f t="shared" si="0"/>
        <v>1</v>
      </c>
      <c r="Q14" s="17">
        <f t="shared" si="5"/>
        <v>1</v>
      </c>
      <c r="R14" s="17">
        <f t="shared" si="2"/>
        <v>0</v>
      </c>
      <c r="S14" s="17">
        <f t="shared" si="3"/>
        <v>0</v>
      </c>
      <c r="T14" s="17">
        <f t="shared" si="4"/>
        <v>0</v>
      </c>
    </row>
    <row r="15" spans="1:24">
      <c r="A15" t="s">
        <v>37</v>
      </c>
      <c r="B15" s="12" t="s">
        <v>48</v>
      </c>
      <c r="C15">
        <v>1</v>
      </c>
      <c r="D15" t="s">
        <v>23</v>
      </c>
      <c r="E15" s="13" t="s">
        <v>49</v>
      </c>
      <c r="F15" s="15">
        <v>1</v>
      </c>
      <c r="G15" s="14">
        <v>0</v>
      </c>
      <c r="H15" s="14">
        <v>0</v>
      </c>
      <c r="I15" s="17">
        <v>1</v>
      </c>
      <c r="J15" s="14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7">
        <f t="shared" si="0"/>
        <v>1</v>
      </c>
      <c r="Q15" s="17">
        <f t="shared" si="5"/>
        <v>1</v>
      </c>
      <c r="R15" s="17">
        <f t="shared" si="2"/>
        <v>0</v>
      </c>
      <c r="S15" s="17">
        <f t="shared" si="3"/>
        <v>0</v>
      </c>
      <c r="T15" s="17">
        <f t="shared" si="4"/>
        <v>0</v>
      </c>
      <c r="X15" s="26"/>
    </row>
    <row r="16" spans="1:24">
      <c r="A16" t="s">
        <v>37</v>
      </c>
      <c r="B16" s="12" t="s">
        <v>48</v>
      </c>
      <c r="C16">
        <v>1</v>
      </c>
      <c r="D16" t="s">
        <v>23</v>
      </c>
      <c r="E16" s="13" t="s">
        <v>31</v>
      </c>
      <c r="F16" s="8">
        <v>0</v>
      </c>
      <c r="G16" s="14">
        <v>0</v>
      </c>
      <c r="H16" s="14">
        <v>0</v>
      </c>
      <c r="I16" s="17">
        <v>1</v>
      </c>
      <c r="J16" s="14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7">
        <f t="shared" si="0"/>
        <v>0</v>
      </c>
      <c r="Q16" s="17">
        <f t="shared" si="5"/>
        <v>1</v>
      </c>
      <c r="R16" s="17">
        <f t="shared" si="2"/>
        <v>0</v>
      </c>
      <c r="S16" s="17">
        <f t="shared" si="3"/>
        <v>0</v>
      </c>
      <c r="T16" s="17">
        <f t="shared" si="4"/>
        <v>0</v>
      </c>
      <c r="X16" s="26"/>
    </row>
    <row r="17" spans="1:24">
      <c r="A17" t="s">
        <v>37</v>
      </c>
      <c r="B17" s="12" t="s">
        <v>38</v>
      </c>
      <c r="C17">
        <v>2</v>
      </c>
      <c r="D17" t="s">
        <v>23</v>
      </c>
      <c r="E17" s="13" t="s">
        <v>39</v>
      </c>
      <c r="F17" s="16">
        <v>0</v>
      </c>
      <c r="G17" s="17">
        <v>1</v>
      </c>
      <c r="H17" s="8">
        <v>0</v>
      </c>
      <c r="I17" s="16">
        <v>0</v>
      </c>
      <c r="J17" s="17">
        <v>1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7">
        <f t="shared" si="0"/>
        <v>1</v>
      </c>
      <c r="Q17" s="17">
        <f t="shared" si="5"/>
        <v>0</v>
      </c>
      <c r="R17" s="17">
        <f t="shared" si="2"/>
        <v>1</v>
      </c>
      <c r="S17" s="17">
        <f t="shared" si="3"/>
        <v>0</v>
      </c>
      <c r="T17" s="17">
        <f t="shared" si="4"/>
        <v>0</v>
      </c>
      <c r="X17" s="26"/>
    </row>
    <row r="18" spans="1:20">
      <c r="A18" t="s">
        <v>37</v>
      </c>
      <c r="B18" s="12" t="s">
        <v>38</v>
      </c>
      <c r="C18">
        <v>2</v>
      </c>
      <c r="D18" t="s">
        <v>23</v>
      </c>
      <c r="E18" s="13" t="s">
        <v>45</v>
      </c>
      <c r="F18" s="16">
        <v>0</v>
      </c>
      <c r="G18" s="17">
        <v>1</v>
      </c>
      <c r="H18" s="8">
        <v>0</v>
      </c>
      <c r="I18" s="16">
        <v>0</v>
      </c>
      <c r="J18" s="17">
        <v>1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7">
        <f t="shared" ref="P18:P33" si="6">F18+G18</f>
        <v>1</v>
      </c>
      <c r="Q18" s="17">
        <f t="shared" ref="Q18:Q33" si="7">H18+I18</f>
        <v>0</v>
      </c>
      <c r="R18" s="17">
        <f t="shared" ref="R18:R33" si="8">J18+K18</f>
        <v>1</v>
      </c>
      <c r="S18" s="17">
        <f t="shared" ref="S18:S33" si="9">L18+M18</f>
        <v>0</v>
      </c>
      <c r="T18" s="17">
        <f t="shared" si="4"/>
        <v>0</v>
      </c>
    </row>
    <row r="19" ht="20" customHeight="1" spans="1:20">
      <c r="A19" t="s">
        <v>37</v>
      </c>
      <c r="B19" s="12" t="s">
        <v>38</v>
      </c>
      <c r="C19">
        <v>2</v>
      </c>
      <c r="D19" t="s">
        <v>23</v>
      </c>
      <c r="E19" s="13" t="s">
        <v>46</v>
      </c>
      <c r="F19" s="16">
        <v>0</v>
      </c>
      <c r="G19" s="17">
        <v>1</v>
      </c>
      <c r="H19" s="8">
        <v>0</v>
      </c>
      <c r="I19" s="16">
        <v>0</v>
      </c>
      <c r="J19" s="17">
        <v>1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7">
        <f t="shared" si="6"/>
        <v>1</v>
      </c>
      <c r="Q19" s="17">
        <f t="shared" si="7"/>
        <v>0</v>
      </c>
      <c r="R19" s="17">
        <f t="shared" si="8"/>
        <v>1</v>
      </c>
      <c r="S19" s="17">
        <f t="shared" si="9"/>
        <v>0</v>
      </c>
      <c r="T19" s="17">
        <f t="shared" ref="T18:T33" si="10">O19+N19</f>
        <v>0</v>
      </c>
    </row>
    <row r="20" ht="16" customHeight="1" spans="1:20">
      <c r="A20" t="s">
        <v>37</v>
      </c>
      <c r="B20" s="12" t="s">
        <v>47</v>
      </c>
      <c r="C20">
        <v>2</v>
      </c>
      <c r="D20" t="s">
        <v>23</v>
      </c>
      <c r="E20" s="13" t="s">
        <v>26</v>
      </c>
      <c r="F20" s="16">
        <v>0</v>
      </c>
      <c r="G20" s="17">
        <v>1</v>
      </c>
      <c r="H20" s="17">
        <v>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7">
        <f t="shared" si="6"/>
        <v>1</v>
      </c>
      <c r="Q20" s="17">
        <f t="shared" si="7"/>
        <v>1</v>
      </c>
      <c r="R20" s="17">
        <f t="shared" si="8"/>
        <v>0</v>
      </c>
      <c r="S20" s="17">
        <f t="shared" si="9"/>
        <v>0</v>
      </c>
      <c r="T20" s="17">
        <f t="shared" si="10"/>
        <v>0</v>
      </c>
    </row>
    <row r="21" spans="1:20">
      <c r="A21" t="s">
        <v>37</v>
      </c>
      <c r="B21" s="12" t="s">
        <v>47</v>
      </c>
      <c r="C21">
        <v>2</v>
      </c>
      <c r="D21" t="s">
        <v>23</v>
      </c>
      <c r="E21" s="13" t="s">
        <v>27</v>
      </c>
      <c r="F21" s="16">
        <v>0</v>
      </c>
      <c r="G21" s="17">
        <v>1</v>
      </c>
      <c r="H21" s="17">
        <v>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7">
        <f t="shared" si="6"/>
        <v>1</v>
      </c>
      <c r="Q21" s="17">
        <f t="shared" si="7"/>
        <v>1</v>
      </c>
      <c r="R21" s="17">
        <f t="shared" si="8"/>
        <v>0</v>
      </c>
      <c r="S21" s="17">
        <f t="shared" si="9"/>
        <v>0</v>
      </c>
      <c r="T21" s="17">
        <f t="shared" si="10"/>
        <v>0</v>
      </c>
    </row>
    <row r="22" spans="1:20">
      <c r="A22" t="s">
        <v>37</v>
      </c>
      <c r="B22" s="12" t="s">
        <v>47</v>
      </c>
      <c r="C22">
        <v>2</v>
      </c>
      <c r="D22" t="s">
        <v>23</v>
      </c>
      <c r="E22" s="13" t="s">
        <v>28</v>
      </c>
      <c r="F22" s="16">
        <v>0</v>
      </c>
      <c r="G22" s="17">
        <v>-1</v>
      </c>
      <c r="H22" s="17">
        <v>1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7">
        <f t="shared" si="6"/>
        <v>-1</v>
      </c>
      <c r="Q22" s="17">
        <f t="shared" si="7"/>
        <v>1</v>
      </c>
      <c r="R22" s="17">
        <f t="shared" si="8"/>
        <v>0</v>
      </c>
      <c r="S22" s="17">
        <f t="shared" si="9"/>
        <v>0</v>
      </c>
      <c r="T22" s="17">
        <f t="shared" si="10"/>
        <v>0</v>
      </c>
    </row>
    <row r="23" spans="1:20">
      <c r="A23" t="s">
        <v>37</v>
      </c>
      <c r="B23" s="12" t="s">
        <v>48</v>
      </c>
      <c r="C23">
        <v>2</v>
      </c>
      <c r="D23" t="s">
        <v>23</v>
      </c>
      <c r="E23" s="13" t="s">
        <v>29</v>
      </c>
      <c r="F23" s="16">
        <v>0</v>
      </c>
      <c r="G23" s="17">
        <v>1</v>
      </c>
      <c r="H23" s="17">
        <v>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7">
        <f t="shared" si="6"/>
        <v>1</v>
      </c>
      <c r="Q23" s="17">
        <f t="shared" si="7"/>
        <v>1</v>
      </c>
      <c r="R23" s="17">
        <f t="shared" si="8"/>
        <v>0</v>
      </c>
      <c r="S23" s="17">
        <f t="shared" si="9"/>
        <v>0</v>
      </c>
      <c r="T23" s="17">
        <f t="shared" si="10"/>
        <v>0</v>
      </c>
    </row>
    <row r="24" spans="1:20">
      <c r="A24" t="s">
        <v>37</v>
      </c>
      <c r="B24" s="12" t="s">
        <v>48</v>
      </c>
      <c r="C24">
        <v>2</v>
      </c>
      <c r="D24" t="s">
        <v>23</v>
      </c>
      <c r="E24" s="13" t="s">
        <v>49</v>
      </c>
      <c r="F24" s="16">
        <v>0</v>
      </c>
      <c r="G24" s="17">
        <v>1</v>
      </c>
      <c r="H24" s="17">
        <v>1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7">
        <f t="shared" si="6"/>
        <v>1</v>
      </c>
      <c r="Q24" s="17">
        <f t="shared" si="7"/>
        <v>1</v>
      </c>
      <c r="R24" s="17">
        <f t="shared" si="8"/>
        <v>0</v>
      </c>
      <c r="S24" s="17">
        <f t="shared" si="9"/>
        <v>0</v>
      </c>
      <c r="T24" s="17">
        <f t="shared" si="10"/>
        <v>0</v>
      </c>
    </row>
    <row r="25" spans="1:20">
      <c r="A25" t="s">
        <v>37</v>
      </c>
      <c r="B25" s="12" t="s">
        <v>48</v>
      </c>
      <c r="C25">
        <v>2</v>
      </c>
      <c r="D25" t="s">
        <v>23</v>
      </c>
      <c r="E25" s="13" t="s">
        <v>31</v>
      </c>
      <c r="F25" s="16">
        <v>0</v>
      </c>
      <c r="G25" s="17">
        <v>1</v>
      </c>
      <c r="H25" s="17">
        <v>1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7">
        <f t="shared" si="6"/>
        <v>1</v>
      </c>
      <c r="Q25" s="17">
        <f t="shared" si="7"/>
        <v>1</v>
      </c>
      <c r="R25" s="17">
        <f t="shared" si="8"/>
        <v>0</v>
      </c>
      <c r="S25" s="17">
        <f t="shared" si="9"/>
        <v>0</v>
      </c>
      <c r="T25" s="17">
        <f t="shared" si="10"/>
        <v>0</v>
      </c>
    </row>
    <row r="26" spans="1:20">
      <c r="A26" t="s">
        <v>50</v>
      </c>
      <c r="B26" s="12" t="s">
        <v>38</v>
      </c>
      <c r="C26">
        <v>3</v>
      </c>
      <c r="D26" t="s">
        <v>32</v>
      </c>
      <c r="E26" s="13" t="s">
        <v>45</v>
      </c>
      <c r="F26" s="17">
        <v>1</v>
      </c>
      <c r="G26" s="16">
        <v>0</v>
      </c>
      <c r="H26" s="16">
        <v>0</v>
      </c>
      <c r="I26" s="16">
        <v>0</v>
      </c>
      <c r="J26" s="17">
        <v>1</v>
      </c>
      <c r="K26" s="16">
        <v>0</v>
      </c>
      <c r="L26" s="17">
        <v>1</v>
      </c>
      <c r="M26" s="16">
        <v>0</v>
      </c>
      <c r="N26" s="17">
        <v>1</v>
      </c>
      <c r="O26" s="16">
        <v>0</v>
      </c>
      <c r="P26" s="17">
        <f t="shared" si="6"/>
        <v>1</v>
      </c>
      <c r="Q26" s="17">
        <f t="shared" si="7"/>
        <v>0</v>
      </c>
      <c r="R26" s="17">
        <f t="shared" si="8"/>
        <v>1</v>
      </c>
      <c r="S26" s="17">
        <f t="shared" si="9"/>
        <v>1</v>
      </c>
      <c r="T26" s="17">
        <f t="shared" si="10"/>
        <v>1</v>
      </c>
    </row>
    <row r="27" spans="1:20">
      <c r="A27" t="s">
        <v>50</v>
      </c>
      <c r="B27" s="12" t="s">
        <v>38</v>
      </c>
      <c r="C27">
        <v>3</v>
      </c>
      <c r="D27" t="s">
        <v>32</v>
      </c>
      <c r="E27" s="13" t="s">
        <v>46</v>
      </c>
      <c r="F27" s="17">
        <v>1</v>
      </c>
      <c r="G27" s="16">
        <v>0</v>
      </c>
      <c r="H27" s="16">
        <v>0</v>
      </c>
      <c r="I27" s="16">
        <v>0</v>
      </c>
      <c r="J27" s="17">
        <v>1</v>
      </c>
      <c r="K27" s="16">
        <v>0</v>
      </c>
      <c r="L27" s="8">
        <v>0</v>
      </c>
      <c r="M27" s="16">
        <v>0</v>
      </c>
      <c r="N27" s="8">
        <v>0</v>
      </c>
      <c r="O27" s="16">
        <v>0</v>
      </c>
      <c r="P27" s="17">
        <f t="shared" si="6"/>
        <v>1</v>
      </c>
      <c r="Q27" s="17">
        <f t="shared" si="7"/>
        <v>0</v>
      </c>
      <c r="R27" s="17">
        <f t="shared" si="8"/>
        <v>1</v>
      </c>
      <c r="S27" s="17">
        <f t="shared" si="9"/>
        <v>0</v>
      </c>
      <c r="T27" s="17">
        <f t="shared" si="10"/>
        <v>0</v>
      </c>
    </row>
    <row r="28" spans="1:20">
      <c r="A28" t="s">
        <v>50</v>
      </c>
      <c r="B28" s="12" t="s">
        <v>47</v>
      </c>
      <c r="C28">
        <v>3</v>
      </c>
      <c r="D28" t="s">
        <v>32</v>
      </c>
      <c r="E28" s="13" t="s">
        <v>26</v>
      </c>
      <c r="F28" s="17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7">
        <v>1</v>
      </c>
      <c r="M28" s="16">
        <v>0</v>
      </c>
      <c r="N28" s="17">
        <v>1</v>
      </c>
      <c r="O28" s="16">
        <v>0</v>
      </c>
      <c r="P28" s="17">
        <f t="shared" si="6"/>
        <v>1</v>
      </c>
      <c r="Q28" s="17">
        <f t="shared" si="7"/>
        <v>0</v>
      </c>
      <c r="R28" s="17">
        <f t="shared" si="8"/>
        <v>0</v>
      </c>
      <c r="S28" s="17">
        <f t="shared" si="9"/>
        <v>1</v>
      </c>
      <c r="T28" s="17">
        <f t="shared" si="10"/>
        <v>1</v>
      </c>
    </row>
    <row r="29" spans="1:20">
      <c r="A29" t="s">
        <v>50</v>
      </c>
      <c r="B29" s="12" t="s">
        <v>47</v>
      </c>
      <c r="C29">
        <v>3</v>
      </c>
      <c r="D29" t="s">
        <v>32</v>
      </c>
      <c r="E29" s="13" t="s">
        <v>27</v>
      </c>
      <c r="F29" s="17">
        <v>-1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7">
        <v>1</v>
      </c>
      <c r="M29" s="16">
        <v>0</v>
      </c>
      <c r="N29" s="17">
        <v>1</v>
      </c>
      <c r="O29" s="16">
        <v>0</v>
      </c>
      <c r="P29" s="17">
        <f t="shared" si="6"/>
        <v>-1</v>
      </c>
      <c r="Q29" s="17">
        <f t="shared" si="7"/>
        <v>0</v>
      </c>
      <c r="R29" s="17">
        <f t="shared" si="8"/>
        <v>0</v>
      </c>
      <c r="S29" s="17">
        <f t="shared" si="9"/>
        <v>1</v>
      </c>
      <c r="T29" s="17">
        <f t="shared" si="10"/>
        <v>1</v>
      </c>
    </row>
    <row r="30" spans="1:20">
      <c r="A30" t="s">
        <v>50</v>
      </c>
      <c r="B30" s="12" t="s">
        <v>47</v>
      </c>
      <c r="C30">
        <v>3</v>
      </c>
      <c r="D30" t="s">
        <v>32</v>
      </c>
      <c r="E30" s="13" t="s">
        <v>28</v>
      </c>
      <c r="F30" s="17">
        <v>-1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7">
        <v>1</v>
      </c>
      <c r="M30" s="16">
        <v>0</v>
      </c>
      <c r="N30" s="17">
        <v>1</v>
      </c>
      <c r="O30" s="16">
        <v>0</v>
      </c>
      <c r="P30" s="17">
        <f t="shared" si="6"/>
        <v>-1</v>
      </c>
      <c r="Q30" s="17">
        <f t="shared" si="7"/>
        <v>0</v>
      </c>
      <c r="R30" s="17">
        <f t="shared" si="8"/>
        <v>0</v>
      </c>
      <c r="S30" s="17">
        <f t="shared" si="9"/>
        <v>1</v>
      </c>
      <c r="T30" s="17">
        <f t="shared" si="10"/>
        <v>1</v>
      </c>
    </row>
    <row r="31" spans="1:20">
      <c r="A31" t="s">
        <v>50</v>
      </c>
      <c r="B31" s="12" t="s">
        <v>48</v>
      </c>
      <c r="C31">
        <v>3</v>
      </c>
      <c r="D31" t="s">
        <v>32</v>
      </c>
      <c r="E31" s="13" t="s">
        <v>29</v>
      </c>
      <c r="F31" s="17">
        <v>-1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7">
        <v>1</v>
      </c>
      <c r="M31" s="16">
        <v>0</v>
      </c>
      <c r="N31" s="17">
        <v>1</v>
      </c>
      <c r="O31" s="16">
        <v>0</v>
      </c>
      <c r="P31" s="17">
        <f t="shared" si="6"/>
        <v>-1</v>
      </c>
      <c r="Q31" s="17">
        <f t="shared" si="7"/>
        <v>0</v>
      </c>
      <c r="R31" s="17">
        <f t="shared" si="8"/>
        <v>0</v>
      </c>
      <c r="S31" s="17">
        <f t="shared" si="9"/>
        <v>1</v>
      </c>
      <c r="T31" s="17">
        <f t="shared" si="10"/>
        <v>1</v>
      </c>
    </row>
    <row r="32" spans="1:20">
      <c r="A32" t="s">
        <v>50</v>
      </c>
      <c r="B32" s="12" t="s">
        <v>48</v>
      </c>
      <c r="C32">
        <v>3</v>
      </c>
      <c r="D32" t="s">
        <v>32</v>
      </c>
      <c r="E32" s="13" t="s">
        <v>49</v>
      </c>
      <c r="F32" s="17">
        <v>1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8">
        <v>0</v>
      </c>
      <c r="M32" s="16">
        <v>0</v>
      </c>
      <c r="N32" s="17">
        <v>-1</v>
      </c>
      <c r="O32" s="16">
        <v>0</v>
      </c>
      <c r="P32" s="17">
        <f t="shared" si="6"/>
        <v>1</v>
      </c>
      <c r="Q32" s="17">
        <f t="shared" si="7"/>
        <v>0</v>
      </c>
      <c r="R32" s="17">
        <f t="shared" si="8"/>
        <v>0</v>
      </c>
      <c r="S32" s="17">
        <f t="shared" si="9"/>
        <v>0</v>
      </c>
      <c r="T32" s="17">
        <f t="shared" si="10"/>
        <v>-1</v>
      </c>
    </row>
    <row r="33" spans="1:20">
      <c r="A33" t="s">
        <v>50</v>
      </c>
      <c r="B33" s="12" t="s">
        <v>48</v>
      </c>
      <c r="C33">
        <v>3</v>
      </c>
      <c r="D33" t="s">
        <v>32</v>
      </c>
      <c r="E33" s="13" t="s">
        <v>31</v>
      </c>
      <c r="F33" s="17">
        <v>1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7">
        <v>-1</v>
      </c>
      <c r="M33" s="16">
        <v>0</v>
      </c>
      <c r="N33" s="8">
        <v>0</v>
      </c>
      <c r="O33" s="16">
        <v>0</v>
      </c>
      <c r="P33" s="17">
        <f t="shared" si="6"/>
        <v>1</v>
      </c>
      <c r="Q33" s="17">
        <f t="shared" si="7"/>
        <v>0</v>
      </c>
      <c r="R33" s="17">
        <f t="shared" si="8"/>
        <v>0</v>
      </c>
      <c r="S33" s="17">
        <f t="shared" si="9"/>
        <v>-1</v>
      </c>
      <c r="T33" s="17">
        <f t="shared" si="10"/>
        <v>0</v>
      </c>
    </row>
    <row r="34" spans="2:2">
      <c r="B34" s="12"/>
    </row>
    <row r="37" ht="15.75"/>
    <row r="38" ht="29.25" spans="1:20">
      <c r="A38" s="9" t="s">
        <v>51</v>
      </c>
      <c r="B38" s="10"/>
      <c r="C38" s="11"/>
      <c r="D38" s="11"/>
      <c r="E38" s="11"/>
      <c r="F38" s="10"/>
      <c r="G38" s="10"/>
      <c r="H38" s="10"/>
      <c r="I38" s="10"/>
      <c r="J38" s="10"/>
      <c r="K38" s="10"/>
      <c r="L38" s="10"/>
      <c r="M38" s="10"/>
      <c r="N38" s="10"/>
      <c r="O38" s="11"/>
      <c r="P38" s="11"/>
      <c r="Q38" s="11"/>
      <c r="R38" s="11"/>
      <c r="S38" s="11"/>
      <c r="T38" s="19"/>
    </row>
    <row r="39" ht="30" spans="1:20">
      <c r="A39" t="s">
        <v>34</v>
      </c>
      <c r="B39" t="s">
        <v>35</v>
      </c>
      <c r="C39" t="s">
        <v>0</v>
      </c>
      <c r="D39" t="s">
        <v>36</v>
      </c>
      <c r="E39" t="s">
        <v>2</v>
      </c>
      <c r="F39" s="8" t="s">
        <v>4</v>
      </c>
      <c r="G39" s="8" t="s">
        <v>5</v>
      </c>
      <c r="H39" s="8" t="s">
        <v>7</v>
      </c>
      <c r="I39" s="8" t="s">
        <v>8</v>
      </c>
      <c r="J39" s="8" t="s">
        <v>10</v>
      </c>
      <c r="K39" s="8" t="s">
        <v>11</v>
      </c>
      <c r="L39" s="8" t="s">
        <v>13</v>
      </c>
      <c r="M39" s="8" t="s">
        <v>14</v>
      </c>
      <c r="N39" s="8" t="s">
        <v>16</v>
      </c>
      <c r="O39" s="8" t="s">
        <v>17</v>
      </c>
      <c r="P39" s="18" t="s">
        <v>18</v>
      </c>
      <c r="Q39" s="18" t="s">
        <v>19</v>
      </c>
      <c r="R39" s="18" t="s">
        <v>20</v>
      </c>
      <c r="S39" s="18" t="s">
        <v>21</v>
      </c>
      <c r="T39" s="18" t="s">
        <v>22</v>
      </c>
    </row>
    <row r="40" spans="1:20">
      <c r="A40" t="s">
        <v>37</v>
      </c>
      <c r="B40" s="12" t="s">
        <v>48</v>
      </c>
      <c r="C40">
        <v>1</v>
      </c>
      <c r="D40" t="s">
        <v>23</v>
      </c>
      <c r="E40" t="s">
        <v>31</v>
      </c>
      <c r="F40" s="8">
        <v>0</v>
      </c>
      <c r="G40" s="16">
        <v>0</v>
      </c>
      <c r="H40" s="16">
        <v>0</v>
      </c>
      <c r="I40" s="17">
        <v>1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7">
        <f t="shared" ref="P40:P75" si="11">F40+G40</f>
        <v>0</v>
      </c>
      <c r="Q40" s="17">
        <f t="shared" ref="Q40:Q75" si="12">H40+I40</f>
        <v>1</v>
      </c>
      <c r="R40" s="17">
        <f t="shared" ref="R40:R75" si="13">J40+K40</f>
        <v>0</v>
      </c>
      <c r="S40" s="17">
        <f t="shared" ref="S40:S75" si="14">L40+M40</f>
        <v>0</v>
      </c>
      <c r="T40" s="17">
        <f t="shared" ref="T40:T75" si="15">O40+N40</f>
        <v>0</v>
      </c>
    </row>
    <row r="41" spans="1:20">
      <c r="A41" t="s">
        <v>37</v>
      </c>
      <c r="B41" s="12" t="s">
        <v>48</v>
      </c>
      <c r="C41">
        <v>2</v>
      </c>
      <c r="D41" t="s">
        <v>23</v>
      </c>
      <c r="E41" t="s">
        <v>31</v>
      </c>
      <c r="F41" s="16">
        <v>0</v>
      </c>
      <c r="G41" s="17">
        <v>1</v>
      </c>
      <c r="H41" s="17">
        <v>1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7">
        <f t="shared" si="11"/>
        <v>1</v>
      </c>
      <c r="Q41" s="17">
        <f t="shared" si="12"/>
        <v>1</v>
      </c>
      <c r="R41" s="17">
        <f t="shared" si="13"/>
        <v>0</v>
      </c>
      <c r="S41" s="17">
        <f t="shared" si="14"/>
        <v>0</v>
      </c>
      <c r="T41" s="17">
        <f t="shared" si="15"/>
        <v>0</v>
      </c>
    </row>
    <row r="42" spans="1:20">
      <c r="A42" t="s">
        <v>50</v>
      </c>
      <c r="B42" s="12" t="s">
        <v>48</v>
      </c>
      <c r="C42">
        <v>3</v>
      </c>
      <c r="D42" t="s">
        <v>32</v>
      </c>
      <c r="E42" t="s">
        <v>31</v>
      </c>
      <c r="F42" s="17">
        <v>1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7">
        <v>-1</v>
      </c>
      <c r="M42" s="16">
        <v>0</v>
      </c>
      <c r="N42" s="8">
        <v>0</v>
      </c>
      <c r="O42" s="16">
        <v>0</v>
      </c>
      <c r="P42" s="17">
        <f t="shared" si="11"/>
        <v>1</v>
      </c>
      <c r="Q42" s="17">
        <f t="shared" si="12"/>
        <v>0</v>
      </c>
      <c r="R42" s="17">
        <f t="shared" si="13"/>
        <v>0</v>
      </c>
      <c r="S42" s="17">
        <f t="shared" si="14"/>
        <v>-1</v>
      </c>
      <c r="T42" s="17">
        <f t="shared" si="15"/>
        <v>0</v>
      </c>
    </row>
    <row r="43" spans="1:20">
      <c r="A43" t="s">
        <v>37</v>
      </c>
      <c r="B43" s="12" t="s">
        <v>38</v>
      </c>
      <c r="C43">
        <v>1</v>
      </c>
      <c r="D43" t="s">
        <v>23</v>
      </c>
      <c r="E43" t="s">
        <v>52</v>
      </c>
      <c r="F43" s="8">
        <v>0</v>
      </c>
      <c r="G43" s="16">
        <v>0</v>
      </c>
      <c r="H43" s="16">
        <v>0</v>
      </c>
      <c r="I43" s="8">
        <v>0</v>
      </c>
      <c r="J43" s="8">
        <v>1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7">
        <f t="shared" si="11"/>
        <v>0</v>
      </c>
      <c r="Q43" s="17">
        <f t="shared" si="12"/>
        <v>0</v>
      </c>
      <c r="R43" s="17">
        <f t="shared" si="13"/>
        <v>1</v>
      </c>
      <c r="S43" s="17">
        <f t="shared" si="14"/>
        <v>0</v>
      </c>
      <c r="T43" s="17">
        <f t="shared" si="15"/>
        <v>0</v>
      </c>
    </row>
    <row r="44" spans="1:20">
      <c r="A44" t="s">
        <v>37</v>
      </c>
      <c r="B44" s="12" t="s">
        <v>38</v>
      </c>
      <c r="C44">
        <v>2</v>
      </c>
      <c r="D44" t="s">
        <v>23</v>
      </c>
      <c r="E44" t="s">
        <v>52</v>
      </c>
      <c r="F44" s="16">
        <v>0</v>
      </c>
      <c r="G44" s="17">
        <v>1</v>
      </c>
      <c r="H44" s="8">
        <v>0</v>
      </c>
      <c r="I44" s="16">
        <v>0</v>
      </c>
      <c r="J44" s="17">
        <v>1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7">
        <f t="shared" si="11"/>
        <v>1</v>
      </c>
      <c r="Q44" s="17">
        <f t="shared" si="12"/>
        <v>0</v>
      </c>
      <c r="R44" s="17">
        <f t="shared" si="13"/>
        <v>1</v>
      </c>
      <c r="S44" s="17">
        <f t="shared" si="14"/>
        <v>0</v>
      </c>
      <c r="T44" s="17">
        <f t="shared" si="15"/>
        <v>0</v>
      </c>
    </row>
    <row r="45" spans="1:20">
      <c r="A45" t="s">
        <v>37</v>
      </c>
      <c r="B45" s="12" t="s">
        <v>38</v>
      </c>
      <c r="C45">
        <v>1</v>
      </c>
      <c r="D45" t="s">
        <v>23</v>
      </c>
      <c r="E45" t="s">
        <v>53</v>
      </c>
      <c r="F45" s="8">
        <v>0</v>
      </c>
      <c r="G45" s="16">
        <v>0</v>
      </c>
      <c r="H45" s="16">
        <v>0</v>
      </c>
      <c r="I45" s="8">
        <v>0</v>
      </c>
      <c r="J45" s="8">
        <v>1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7">
        <f t="shared" si="11"/>
        <v>0</v>
      </c>
      <c r="Q45" s="17">
        <f t="shared" si="12"/>
        <v>0</v>
      </c>
      <c r="R45" s="17">
        <f t="shared" si="13"/>
        <v>1</v>
      </c>
      <c r="S45" s="17">
        <f t="shared" si="14"/>
        <v>0</v>
      </c>
      <c r="T45" s="17">
        <f t="shared" si="15"/>
        <v>0</v>
      </c>
    </row>
    <row r="46" spans="1:20">
      <c r="A46" t="s">
        <v>37</v>
      </c>
      <c r="B46" s="12" t="s">
        <v>38</v>
      </c>
      <c r="C46">
        <v>1</v>
      </c>
      <c r="D46" t="s">
        <v>23</v>
      </c>
      <c r="E46" t="s">
        <v>54</v>
      </c>
      <c r="F46" s="8">
        <v>0</v>
      </c>
      <c r="G46" s="16">
        <v>0</v>
      </c>
      <c r="H46" s="16">
        <v>0</v>
      </c>
      <c r="I46" s="8">
        <v>0</v>
      </c>
      <c r="J46" s="8">
        <v>1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7">
        <f t="shared" si="11"/>
        <v>0</v>
      </c>
      <c r="Q46" s="17">
        <f t="shared" si="12"/>
        <v>0</v>
      </c>
      <c r="R46" s="17">
        <f t="shared" si="13"/>
        <v>1</v>
      </c>
      <c r="S46" s="17">
        <f t="shared" si="14"/>
        <v>0</v>
      </c>
      <c r="T46" s="17">
        <f t="shared" si="15"/>
        <v>0</v>
      </c>
    </row>
    <row r="47" spans="1:20">
      <c r="A47" t="s">
        <v>37</v>
      </c>
      <c r="B47" s="12" t="s">
        <v>48</v>
      </c>
      <c r="C47">
        <v>1</v>
      </c>
      <c r="D47" t="s">
        <v>23</v>
      </c>
      <c r="E47" t="s">
        <v>29</v>
      </c>
      <c r="F47" s="15">
        <v>1</v>
      </c>
      <c r="G47" s="16">
        <v>0</v>
      </c>
      <c r="H47" s="16">
        <v>0</v>
      </c>
      <c r="I47" s="17">
        <v>1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7">
        <f t="shared" si="11"/>
        <v>1</v>
      </c>
      <c r="Q47" s="17">
        <f t="shared" si="12"/>
        <v>1</v>
      </c>
      <c r="R47" s="17">
        <f t="shared" si="13"/>
        <v>0</v>
      </c>
      <c r="S47" s="17">
        <f t="shared" si="14"/>
        <v>0</v>
      </c>
      <c r="T47" s="17">
        <f t="shared" si="15"/>
        <v>0</v>
      </c>
    </row>
    <row r="48" spans="1:20">
      <c r="A48" t="s">
        <v>37</v>
      </c>
      <c r="B48" s="12" t="s">
        <v>48</v>
      </c>
      <c r="C48">
        <v>2</v>
      </c>
      <c r="D48" t="s">
        <v>23</v>
      </c>
      <c r="E48" t="s">
        <v>29</v>
      </c>
      <c r="F48" s="16">
        <v>0</v>
      </c>
      <c r="G48" s="17">
        <v>1</v>
      </c>
      <c r="H48" s="17">
        <v>1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7">
        <f t="shared" si="11"/>
        <v>1</v>
      </c>
      <c r="Q48" s="17">
        <f t="shared" si="12"/>
        <v>1</v>
      </c>
      <c r="R48" s="17">
        <f t="shared" si="13"/>
        <v>0</v>
      </c>
      <c r="S48" s="17">
        <f t="shared" si="14"/>
        <v>0</v>
      </c>
      <c r="T48" s="17">
        <f t="shared" si="15"/>
        <v>0</v>
      </c>
    </row>
    <row r="49" spans="1:20">
      <c r="A49" t="s">
        <v>50</v>
      </c>
      <c r="B49" s="12" t="s">
        <v>48</v>
      </c>
      <c r="C49">
        <v>3</v>
      </c>
      <c r="D49" t="s">
        <v>32</v>
      </c>
      <c r="E49" t="s">
        <v>29</v>
      </c>
      <c r="F49" s="17">
        <v>-1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7">
        <v>1</v>
      </c>
      <c r="M49" s="16">
        <v>0</v>
      </c>
      <c r="N49" s="17">
        <v>1</v>
      </c>
      <c r="O49" s="16">
        <v>0</v>
      </c>
      <c r="P49" s="17">
        <f t="shared" si="11"/>
        <v>-1</v>
      </c>
      <c r="Q49" s="17">
        <f t="shared" si="12"/>
        <v>0</v>
      </c>
      <c r="R49" s="17">
        <f t="shared" si="13"/>
        <v>0</v>
      </c>
      <c r="S49" s="17">
        <f t="shared" si="14"/>
        <v>1</v>
      </c>
      <c r="T49" s="17">
        <f t="shared" si="15"/>
        <v>1</v>
      </c>
    </row>
    <row r="50" spans="1:20">
      <c r="A50" t="s">
        <v>37</v>
      </c>
      <c r="B50" s="12" t="s">
        <v>38</v>
      </c>
      <c r="C50">
        <v>1</v>
      </c>
      <c r="D50" t="s">
        <v>23</v>
      </c>
      <c r="E50" t="s">
        <v>45</v>
      </c>
      <c r="F50" s="15">
        <v>1</v>
      </c>
      <c r="G50" s="16">
        <v>0</v>
      </c>
      <c r="H50" s="16">
        <v>0</v>
      </c>
      <c r="I50" s="17">
        <v>1</v>
      </c>
      <c r="J50" s="17">
        <v>1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7">
        <f t="shared" si="11"/>
        <v>1</v>
      </c>
      <c r="Q50" s="17">
        <f t="shared" si="12"/>
        <v>1</v>
      </c>
      <c r="R50" s="17">
        <f t="shared" si="13"/>
        <v>1</v>
      </c>
      <c r="S50" s="17">
        <f t="shared" si="14"/>
        <v>0</v>
      </c>
      <c r="T50" s="17">
        <f t="shared" si="15"/>
        <v>0</v>
      </c>
    </row>
    <row r="51" spans="1:20">
      <c r="A51" t="s">
        <v>37</v>
      </c>
      <c r="B51" s="12" t="s">
        <v>38</v>
      </c>
      <c r="C51">
        <v>2</v>
      </c>
      <c r="D51" t="s">
        <v>23</v>
      </c>
      <c r="E51" t="s">
        <v>45</v>
      </c>
      <c r="F51" s="16">
        <v>0</v>
      </c>
      <c r="G51" s="17">
        <v>1</v>
      </c>
      <c r="H51" s="8">
        <v>0</v>
      </c>
      <c r="I51" s="16">
        <v>0</v>
      </c>
      <c r="J51" s="17">
        <v>1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7">
        <f t="shared" si="11"/>
        <v>1</v>
      </c>
      <c r="Q51" s="17">
        <f t="shared" si="12"/>
        <v>0</v>
      </c>
      <c r="R51" s="17">
        <f t="shared" si="13"/>
        <v>1</v>
      </c>
      <c r="S51" s="17">
        <f t="shared" si="14"/>
        <v>0</v>
      </c>
      <c r="T51" s="17">
        <f t="shared" si="15"/>
        <v>0</v>
      </c>
    </row>
    <row r="52" spans="1:20">
      <c r="A52" t="s">
        <v>50</v>
      </c>
      <c r="B52" s="12" t="s">
        <v>38</v>
      </c>
      <c r="C52">
        <v>3</v>
      </c>
      <c r="D52" t="s">
        <v>32</v>
      </c>
      <c r="E52" t="s">
        <v>45</v>
      </c>
      <c r="F52" s="17">
        <v>1</v>
      </c>
      <c r="G52" s="16">
        <v>0</v>
      </c>
      <c r="H52" s="16">
        <v>0</v>
      </c>
      <c r="I52" s="16">
        <v>0</v>
      </c>
      <c r="J52" s="17">
        <v>1</v>
      </c>
      <c r="K52" s="16">
        <v>0</v>
      </c>
      <c r="L52" s="17">
        <v>1</v>
      </c>
      <c r="M52" s="16">
        <v>0</v>
      </c>
      <c r="N52" s="17">
        <v>1</v>
      </c>
      <c r="O52" s="16">
        <v>0</v>
      </c>
      <c r="P52" s="17">
        <f t="shared" si="11"/>
        <v>1</v>
      </c>
      <c r="Q52" s="17">
        <f t="shared" si="12"/>
        <v>0</v>
      </c>
      <c r="R52" s="17">
        <f t="shared" si="13"/>
        <v>1</v>
      </c>
      <c r="S52" s="17">
        <f t="shared" si="14"/>
        <v>1</v>
      </c>
      <c r="T52" s="17">
        <f t="shared" si="15"/>
        <v>1</v>
      </c>
    </row>
    <row r="53" spans="1:20">
      <c r="A53" t="s">
        <v>37</v>
      </c>
      <c r="B53" s="12" t="s">
        <v>47</v>
      </c>
      <c r="C53">
        <v>1</v>
      </c>
      <c r="D53" t="s">
        <v>23</v>
      </c>
      <c r="E53" t="s">
        <v>26</v>
      </c>
      <c r="F53" s="15">
        <v>1</v>
      </c>
      <c r="G53" s="16">
        <v>0</v>
      </c>
      <c r="H53" s="16">
        <v>0</v>
      </c>
      <c r="I53" s="17">
        <v>1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7">
        <f t="shared" si="11"/>
        <v>1</v>
      </c>
      <c r="Q53" s="17">
        <f t="shared" si="12"/>
        <v>1</v>
      </c>
      <c r="R53" s="17">
        <f t="shared" si="13"/>
        <v>0</v>
      </c>
      <c r="S53" s="17">
        <f t="shared" si="14"/>
        <v>0</v>
      </c>
      <c r="T53" s="17">
        <f t="shared" si="15"/>
        <v>0</v>
      </c>
    </row>
    <row r="54" spans="1:20">
      <c r="A54" t="s">
        <v>37</v>
      </c>
      <c r="B54" s="12" t="s">
        <v>47</v>
      </c>
      <c r="C54">
        <v>2</v>
      </c>
      <c r="D54" t="s">
        <v>23</v>
      </c>
      <c r="E54" t="s">
        <v>26</v>
      </c>
      <c r="F54" s="16">
        <v>0</v>
      </c>
      <c r="G54" s="17">
        <v>1</v>
      </c>
      <c r="H54" s="17">
        <v>1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7">
        <f t="shared" si="11"/>
        <v>1</v>
      </c>
      <c r="Q54" s="17">
        <f t="shared" si="12"/>
        <v>1</v>
      </c>
      <c r="R54" s="17">
        <f t="shared" si="13"/>
        <v>0</v>
      </c>
      <c r="S54" s="17">
        <f t="shared" si="14"/>
        <v>0</v>
      </c>
      <c r="T54" s="17">
        <f t="shared" si="15"/>
        <v>0</v>
      </c>
    </row>
    <row r="55" spans="1:20">
      <c r="A55" t="s">
        <v>50</v>
      </c>
      <c r="B55" s="12" t="s">
        <v>47</v>
      </c>
      <c r="C55">
        <v>3</v>
      </c>
      <c r="D55" t="s">
        <v>32</v>
      </c>
      <c r="E55" t="s">
        <v>26</v>
      </c>
      <c r="F55" s="17">
        <v>1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7">
        <v>1</v>
      </c>
      <c r="M55" s="16">
        <v>0</v>
      </c>
      <c r="N55" s="17">
        <v>1</v>
      </c>
      <c r="O55" s="16">
        <v>0</v>
      </c>
      <c r="P55" s="17">
        <f t="shared" si="11"/>
        <v>1</v>
      </c>
      <c r="Q55" s="17">
        <f t="shared" si="12"/>
        <v>0</v>
      </c>
      <c r="R55" s="17">
        <f t="shared" si="13"/>
        <v>0</v>
      </c>
      <c r="S55" s="17">
        <f t="shared" si="14"/>
        <v>1</v>
      </c>
      <c r="T55" s="17">
        <f t="shared" si="15"/>
        <v>1</v>
      </c>
    </row>
    <row r="56" spans="1:20">
      <c r="A56" t="s">
        <v>37</v>
      </c>
      <c r="B56" s="12" t="s">
        <v>38</v>
      </c>
      <c r="C56">
        <v>1</v>
      </c>
      <c r="D56" t="s">
        <v>23</v>
      </c>
      <c r="E56" t="s">
        <v>25</v>
      </c>
      <c r="F56" s="15">
        <v>1</v>
      </c>
      <c r="G56" s="16">
        <v>0</v>
      </c>
      <c r="H56" s="16">
        <v>0</v>
      </c>
      <c r="I56" s="17">
        <v>1</v>
      </c>
      <c r="J56" s="17">
        <v>1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7">
        <f t="shared" si="11"/>
        <v>1</v>
      </c>
      <c r="Q56" s="17">
        <f t="shared" si="12"/>
        <v>1</v>
      </c>
      <c r="R56" s="17">
        <f t="shared" si="13"/>
        <v>1</v>
      </c>
      <c r="S56" s="17">
        <f t="shared" si="14"/>
        <v>0</v>
      </c>
      <c r="T56" s="17">
        <f t="shared" si="15"/>
        <v>0</v>
      </c>
    </row>
    <row r="57" spans="1:20">
      <c r="A57" t="s">
        <v>37</v>
      </c>
      <c r="B57" s="12" t="s">
        <v>38</v>
      </c>
      <c r="C57">
        <v>2</v>
      </c>
      <c r="D57" t="s">
        <v>23</v>
      </c>
      <c r="E57" t="s">
        <v>25</v>
      </c>
      <c r="F57" s="16">
        <v>0</v>
      </c>
      <c r="G57" s="17">
        <v>1</v>
      </c>
      <c r="H57" s="8">
        <v>0</v>
      </c>
      <c r="I57" s="16">
        <v>0</v>
      </c>
      <c r="J57" s="17">
        <v>1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7">
        <f t="shared" si="11"/>
        <v>1</v>
      </c>
      <c r="Q57" s="17">
        <f t="shared" si="12"/>
        <v>0</v>
      </c>
      <c r="R57" s="17">
        <f t="shared" si="13"/>
        <v>1</v>
      </c>
      <c r="S57" s="17">
        <f t="shared" si="14"/>
        <v>0</v>
      </c>
      <c r="T57" s="17">
        <f t="shared" si="15"/>
        <v>0</v>
      </c>
    </row>
    <row r="58" spans="1:20">
      <c r="A58" t="s">
        <v>50</v>
      </c>
      <c r="B58" s="12" t="s">
        <v>38</v>
      </c>
      <c r="C58">
        <v>3</v>
      </c>
      <c r="D58" t="s">
        <v>32</v>
      </c>
      <c r="E58" t="s">
        <v>25</v>
      </c>
      <c r="F58" s="8">
        <v>1</v>
      </c>
      <c r="G58" s="16">
        <v>0</v>
      </c>
      <c r="H58" s="16">
        <v>0</v>
      </c>
      <c r="I58" s="16">
        <v>0</v>
      </c>
      <c r="J58" s="17">
        <v>1</v>
      </c>
      <c r="K58" s="16">
        <v>0</v>
      </c>
      <c r="L58" s="8">
        <v>0</v>
      </c>
      <c r="M58" s="16">
        <v>0</v>
      </c>
      <c r="N58" s="8">
        <v>0</v>
      </c>
      <c r="O58" s="16">
        <v>0</v>
      </c>
      <c r="P58" s="17">
        <f t="shared" si="11"/>
        <v>1</v>
      </c>
      <c r="Q58" s="17">
        <f t="shared" si="12"/>
        <v>0</v>
      </c>
      <c r="R58" s="17">
        <f t="shared" si="13"/>
        <v>1</v>
      </c>
      <c r="S58" s="17">
        <f t="shared" si="14"/>
        <v>0</v>
      </c>
      <c r="T58" s="17">
        <f t="shared" si="15"/>
        <v>0</v>
      </c>
    </row>
    <row r="59" spans="1:20">
      <c r="A59" t="s">
        <v>37</v>
      </c>
      <c r="B59" s="12" t="s">
        <v>48</v>
      </c>
      <c r="C59">
        <v>1</v>
      </c>
      <c r="D59" t="s">
        <v>23</v>
      </c>
      <c r="E59" t="s">
        <v>30</v>
      </c>
      <c r="F59" s="15">
        <v>1</v>
      </c>
      <c r="G59" s="16">
        <v>0</v>
      </c>
      <c r="H59" s="16">
        <v>0</v>
      </c>
      <c r="I59" s="17">
        <v>1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7">
        <f t="shared" si="11"/>
        <v>1</v>
      </c>
      <c r="Q59" s="17">
        <f t="shared" si="12"/>
        <v>1</v>
      </c>
      <c r="R59" s="17">
        <f t="shared" si="13"/>
        <v>0</v>
      </c>
      <c r="S59" s="17">
        <f t="shared" si="14"/>
        <v>0</v>
      </c>
      <c r="T59" s="17">
        <f t="shared" si="15"/>
        <v>0</v>
      </c>
    </row>
    <row r="60" spans="1:20">
      <c r="A60" t="s">
        <v>37</v>
      </c>
      <c r="B60" s="12" t="s">
        <v>48</v>
      </c>
      <c r="C60">
        <v>2</v>
      </c>
      <c r="D60" t="s">
        <v>23</v>
      </c>
      <c r="E60" t="s">
        <v>30</v>
      </c>
      <c r="F60" s="16">
        <v>0</v>
      </c>
      <c r="G60" s="17">
        <v>1</v>
      </c>
      <c r="H60" s="17">
        <v>1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7">
        <f t="shared" si="11"/>
        <v>1</v>
      </c>
      <c r="Q60" s="17">
        <f t="shared" si="12"/>
        <v>1</v>
      </c>
      <c r="R60" s="17">
        <f t="shared" si="13"/>
        <v>0</v>
      </c>
      <c r="S60" s="17">
        <f t="shared" si="14"/>
        <v>0</v>
      </c>
      <c r="T60" s="17">
        <f t="shared" si="15"/>
        <v>0</v>
      </c>
    </row>
    <row r="61" spans="1:20">
      <c r="A61" t="s">
        <v>50</v>
      </c>
      <c r="B61" s="12" t="s">
        <v>48</v>
      </c>
      <c r="C61">
        <v>3</v>
      </c>
      <c r="D61" t="s">
        <v>32</v>
      </c>
      <c r="E61" t="s">
        <v>30</v>
      </c>
      <c r="F61" s="17">
        <v>1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8">
        <v>0</v>
      </c>
      <c r="M61" s="16">
        <v>0</v>
      </c>
      <c r="N61" s="17">
        <v>-1</v>
      </c>
      <c r="O61" s="16">
        <v>0</v>
      </c>
      <c r="P61" s="17">
        <f t="shared" si="11"/>
        <v>1</v>
      </c>
      <c r="Q61" s="17">
        <f t="shared" si="12"/>
        <v>0</v>
      </c>
      <c r="R61" s="17">
        <f t="shared" si="13"/>
        <v>0</v>
      </c>
      <c r="S61" s="17">
        <f t="shared" si="14"/>
        <v>0</v>
      </c>
      <c r="T61" s="17">
        <f t="shared" si="15"/>
        <v>-1</v>
      </c>
    </row>
    <row r="62" spans="1:20">
      <c r="A62" t="s">
        <v>37</v>
      </c>
      <c r="B62" s="12" t="s">
        <v>48</v>
      </c>
      <c r="C62">
        <v>2</v>
      </c>
      <c r="D62" t="s">
        <v>23</v>
      </c>
      <c r="E62" t="s">
        <v>30</v>
      </c>
      <c r="F62" s="16">
        <v>0</v>
      </c>
      <c r="G62" s="17">
        <v>1</v>
      </c>
      <c r="H62" s="17">
        <v>1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7">
        <f t="shared" si="11"/>
        <v>1</v>
      </c>
      <c r="Q62" s="17">
        <f t="shared" si="12"/>
        <v>1</v>
      </c>
      <c r="R62" s="17">
        <f t="shared" si="13"/>
        <v>0</v>
      </c>
      <c r="S62" s="17">
        <f t="shared" si="14"/>
        <v>0</v>
      </c>
      <c r="T62" s="17">
        <f t="shared" si="15"/>
        <v>0</v>
      </c>
    </row>
    <row r="63" spans="1:20">
      <c r="A63" t="s">
        <v>50</v>
      </c>
      <c r="B63" s="12" t="s">
        <v>48</v>
      </c>
      <c r="C63">
        <v>3</v>
      </c>
      <c r="D63" t="s">
        <v>32</v>
      </c>
      <c r="E63" t="s">
        <v>30</v>
      </c>
      <c r="F63" s="17">
        <v>1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7">
        <v>0</v>
      </c>
      <c r="M63" s="16">
        <v>0</v>
      </c>
      <c r="N63" s="17">
        <v>-1</v>
      </c>
      <c r="O63" s="16">
        <v>0</v>
      </c>
      <c r="P63" s="17">
        <f t="shared" si="11"/>
        <v>1</v>
      </c>
      <c r="Q63" s="17">
        <f t="shared" si="12"/>
        <v>0</v>
      </c>
      <c r="R63" s="17">
        <f t="shared" si="13"/>
        <v>0</v>
      </c>
      <c r="S63" s="17">
        <f t="shared" si="14"/>
        <v>0</v>
      </c>
      <c r="T63" s="17">
        <f t="shared" si="15"/>
        <v>-1</v>
      </c>
    </row>
    <row r="64" spans="1:20">
      <c r="A64" t="s">
        <v>37</v>
      </c>
      <c r="B64" s="12" t="s">
        <v>47</v>
      </c>
      <c r="C64">
        <v>1</v>
      </c>
      <c r="D64" t="s">
        <v>23</v>
      </c>
      <c r="E64" t="s">
        <v>28</v>
      </c>
      <c r="F64" s="15">
        <v>-1</v>
      </c>
      <c r="G64" s="16">
        <v>0</v>
      </c>
      <c r="H64" s="16">
        <v>0</v>
      </c>
      <c r="I64" s="17">
        <v>1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7">
        <f t="shared" si="11"/>
        <v>-1</v>
      </c>
      <c r="Q64" s="17">
        <f t="shared" si="12"/>
        <v>1</v>
      </c>
      <c r="R64" s="17">
        <f t="shared" si="13"/>
        <v>0</v>
      </c>
      <c r="S64" s="17">
        <f t="shared" si="14"/>
        <v>0</v>
      </c>
      <c r="T64" s="17">
        <f t="shared" si="15"/>
        <v>0</v>
      </c>
    </row>
    <row r="65" spans="1:20">
      <c r="A65" t="s">
        <v>37</v>
      </c>
      <c r="B65" s="12" t="s">
        <v>47</v>
      </c>
      <c r="C65">
        <v>2</v>
      </c>
      <c r="D65" t="s">
        <v>23</v>
      </c>
      <c r="E65" t="s">
        <v>28</v>
      </c>
      <c r="F65" s="16">
        <v>0</v>
      </c>
      <c r="G65" s="17">
        <v>1</v>
      </c>
      <c r="H65" s="17">
        <v>1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7">
        <f t="shared" si="11"/>
        <v>1</v>
      </c>
      <c r="Q65" s="17">
        <f t="shared" si="12"/>
        <v>1</v>
      </c>
      <c r="R65" s="17">
        <f t="shared" si="13"/>
        <v>0</v>
      </c>
      <c r="S65" s="17">
        <f t="shared" si="14"/>
        <v>0</v>
      </c>
      <c r="T65" s="17">
        <f t="shared" si="15"/>
        <v>0</v>
      </c>
    </row>
    <row r="66" spans="1:20">
      <c r="A66" t="s">
        <v>50</v>
      </c>
      <c r="B66" s="12" t="s">
        <v>47</v>
      </c>
      <c r="C66">
        <v>3</v>
      </c>
      <c r="D66" t="s">
        <v>32</v>
      </c>
      <c r="E66" t="s">
        <v>28</v>
      </c>
      <c r="F66" s="17">
        <v>-1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7">
        <v>1</v>
      </c>
      <c r="M66" s="16">
        <v>0</v>
      </c>
      <c r="N66" s="17">
        <v>1</v>
      </c>
      <c r="O66" s="16">
        <v>0</v>
      </c>
      <c r="P66" s="17">
        <f t="shared" si="11"/>
        <v>-1</v>
      </c>
      <c r="Q66" s="17">
        <f t="shared" si="12"/>
        <v>0</v>
      </c>
      <c r="R66" s="17">
        <f t="shared" si="13"/>
        <v>0</v>
      </c>
      <c r="S66" s="17">
        <f t="shared" si="14"/>
        <v>1</v>
      </c>
      <c r="T66" s="17">
        <f t="shared" si="15"/>
        <v>1</v>
      </c>
    </row>
    <row r="67" spans="1:20">
      <c r="A67" t="s">
        <v>37</v>
      </c>
      <c r="B67" s="12" t="s">
        <v>47</v>
      </c>
      <c r="C67">
        <v>1</v>
      </c>
      <c r="D67" t="s">
        <v>23</v>
      </c>
      <c r="E67" t="s">
        <v>28</v>
      </c>
      <c r="F67" s="15">
        <v>-1</v>
      </c>
      <c r="G67" s="16">
        <v>0</v>
      </c>
      <c r="H67" s="16">
        <v>0</v>
      </c>
      <c r="I67" s="17">
        <v>1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7">
        <f t="shared" si="11"/>
        <v>-1</v>
      </c>
      <c r="Q67" s="17">
        <f t="shared" si="12"/>
        <v>1</v>
      </c>
      <c r="R67" s="17">
        <f t="shared" si="13"/>
        <v>0</v>
      </c>
      <c r="S67" s="17">
        <f t="shared" si="14"/>
        <v>0</v>
      </c>
      <c r="T67" s="17">
        <f t="shared" si="15"/>
        <v>0</v>
      </c>
    </row>
    <row r="68" spans="1:20">
      <c r="A68" t="s">
        <v>37</v>
      </c>
      <c r="B68" s="12" t="s">
        <v>47</v>
      </c>
      <c r="C68">
        <v>2</v>
      </c>
      <c r="D68" t="s">
        <v>23</v>
      </c>
      <c r="E68" t="s">
        <v>28</v>
      </c>
      <c r="F68" s="16">
        <v>0</v>
      </c>
      <c r="G68" s="17">
        <v>1</v>
      </c>
      <c r="H68" s="17">
        <v>1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7">
        <f t="shared" si="11"/>
        <v>1</v>
      </c>
      <c r="Q68" s="17">
        <f t="shared" si="12"/>
        <v>1</v>
      </c>
      <c r="R68" s="17">
        <f t="shared" si="13"/>
        <v>0</v>
      </c>
      <c r="S68" s="17">
        <f t="shared" si="14"/>
        <v>0</v>
      </c>
      <c r="T68" s="17">
        <f t="shared" si="15"/>
        <v>0</v>
      </c>
    </row>
    <row r="69" spans="1:20">
      <c r="A69" t="s">
        <v>50</v>
      </c>
      <c r="B69" s="12" t="s">
        <v>47</v>
      </c>
      <c r="C69">
        <v>3</v>
      </c>
      <c r="D69" t="s">
        <v>32</v>
      </c>
      <c r="E69" t="s">
        <v>28</v>
      </c>
      <c r="F69" s="17">
        <v>-1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7">
        <v>1</v>
      </c>
      <c r="M69" s="16">
        <v>0</v>
      </c>
      <c r="N69" s="17">
        <v>1</v>
      </c>
      <c r="O69" s="16">
        <v>0</v>
      </c>
      <c r="P69" s="17">
        <f t="shared" si="11"/>
        <v>-1</v>
      </c>
      <c r="Q69" s="17">
        <f t="shared" si="12"/>
        <v>0</v>
      </c>
      <c r="R69" s="17">
        <f t="shared" si="13"/>
        <v>0</v>
      </c>
      <c r="S69" s="17">
        <f t="shared" si="14"/>
        <v>1</v>
      </c>
      <c r="T69" s="17">
        <f t="shared" si="15"/>
        <v>1</v>
      </c>
    </row>
    <row r="70" spans="1:20">
      <c r="A70" t="s">
        <v>37</v>
      </c>
      <c r="B70" s="12" t="s">
        <v>47</v>
      </c>
      <c r="C70">
        <v>1</v>
      </c>
      <c r="D70" t="s">
        <v>23</v>
      </c>
      <c r="E70" t="s">
        <v>27</v>
      </c>
      <c r="F70" s="15">
        <v>1</v>
      </c>
      <c r="G70" s="16">
        <v>0</v>
      </c>
      <c r="H70" s="16">
        <v>0</v>
      </c>
      <c r="I70" s="17">
        <v>1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7">
        <f t="shared" si="11"/>
        <v>1</v>
      </c>
      <c r="Q70" s="17">
        <f t="shared" si="12"/>
        <v>1</v>
      </c>
      <c r="R70" s="17">
        <f t="shared" si="13"/>
        <v>0</v>
      </c>
      <c r="S70" s="17">
        <f t="shared" si="14"/>
        <v>0</v>
      </c>
      <c r="T70" s="17">
        <f t="shared" si="15"/>
        <v>0</v>
      </c>
    </row>
    <row r="71" spans="1:20">
      <c r="A71" t="s">
        <v>37</v>
      </c>
      <c r="B71" s="12" t="s">
        <v>47</v>
      </c>
      <c r="C71">
        <v>2</v>
      </c>
      <c r="D71" t="s">
        <v>23</v>
      </c>
      <c r="E71" t="s">
        <v>27</v>
      </c>
      <c r="F71" s="16">
        <v>0</v>
      </c>
      <c r="G71" s="17">
        <v>-1</v>
      </c>
      <c r="H71" s="17">
        <v>1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7">
        <f t="shared" si="11"/>
        <v>-1</v>
      </c>
      <c r="Q71" s="17">
        <f t="shared" si="12"/>
        <v>1</v>
      </c>
      <c r="R71" s="17">
        <f t="shared" si="13"/>
        <v>0</v>
      </c>
      <c r="S71" s="17">
        <f t="shared" si="14"/>
        <v>0</v>
      </c>
      <c r="T71" s="17">
        <f t="shared" si="15"/>
        <v>0</v>
      </c>
    </row>
    <row r="72" spans="1:20">
      <c r="A72" t="s">
        <v>50</v>
      </c>
      <c r="B72" s="12" t="s">
        <v>47</v>
      </c>
      <c r="C72">
        <v>3</v>
      </c>
      <c r="D72" t="s">
        <v>32</v>
      </c>
      <c r="E72" t="s">
        <v>27</v>
      </c>
      <c r="F72" s="17">
        <v>-1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7">
        <v>1</v>
      </c>
      <c r="M72" s="16">
        <v>0</v>
      </c>
      <c r="N72" s="17">
        <v>1</v>
      </c>
      <c r="O72" s="16">
        <v>0</v>
      </c>
      <c r="P72" s="17">
        <f t="shared" si="11"/>
        <v>-1</v>
      </c>
      <c r="Q72" s="17">
        <f t="shared" si="12"/>
        <v>0</v>
      </c>
      <c r="R72" s="17">
        <f t="shared" si="13"/>
        <v>0</v>
      </c>
      <c r="S72" s="17">
        <f t="shared" si="14"/>
        <v>1</v>
      </c>
      <c r="T72" s="17">
        <f t="shared" si="15"/>
        <v>1</v>
      </c>
    </row>
    <row r="73" spans="1:20">
      <c r="A73" t="s">
        <v>37</v>
      </c>
      <c r="B73" s="12" t="s">
        <v>47</v>
      </c>
      <c r="C73">
        <v>1</v>
      </c>
      <c r="D73" t="s">
        <v>23</v>
      </c>
      <c r="E73" t="s">
        <v>27</v>
      </c>
      <c r="F73" s="15">
        <v>1</v>
      </c>
      <c r="G73" s="16">
        <v>0</v>
      </c>
      <c r="H73" s="16">
        <v>0</v>
      </c>
      <c r="I73" s="17">
        <v>1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7">
        <f t="shared" si="11"/>
        <v>1</v>
      </c>
      <c r="Q73" s="17">
        <f t="shared" si="12"/>
        <v>1</v>
      </c>
      <c r="R73" s="17">
        <f t="shared" si="13"/>
        <v>0</v>
      </c>
      <c r="S73" s="17">
        <f t="shared" si="14"/>
        <v>0</v>
      </c>
      <c r="T73" s="17">
        <f t="shared" si="15"/>
        <v>0</v>
      </c>
    </row>
    <row r="74" spans="1:20">
      <c r="A74" t="s">
        <v>37</v>
      </c>
      <c r="B74" s="12" t="s">
        <v>47</v>
      </c>
      <c r="C74">
        <v>2</v>
      </c>
      <c r="D74" t="s">
        <v>23</v>
      </c>
      <c r="E74" t="s">
        <v>27</v>
      </c>
      <c r="F74" s="16">
        <v>0</v>
      </c>
      <c r="G74" s="17">
        <v>-1</v>
      </c>
      <c r="H74" s="17">
        <v>1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7">
        <f t="shared" si="11"/>
        <v>-1</v>
      </c>
      <c r="Q74" s="17">
        <f t="shared" si="12"/>
        <v>1</v>
      </c>
      <c r="R74" s="17">
        <f t="shared" si="13"/>
        <v>0</v>
      </c>
      <c r="S74" s="17">
        <f t="shared" si="14"/>
        <v>0</v>
      </c>
      <c r="T74" s="17">
        <f t="shared" si="15"/>
        <v>0</v>
      </c>
    </row>
    <row r="75" spans="1:20">
      <c r="A75" t="s">
        <v>50</v>
      </c>
      <c r="B75" s="12" t="s">
        <v>47</v>
      </c>
      <c r="C75">
        <v>3</v>
      </c>
      <c r="D75" t="s">
        <v>32</v>
      </c>
      <c r="E75" t="s">
        <v>27</v>
      </c>
      <c r="F75" s="17">
        <v>-1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7">
        <v>1</v>
      </c>
      <c r="M75" s="16">
        <v>0</v>
      </c>
      <c r="N75" s="17">
        <v>1</v>
      </c>
      <c r="O75" s="16">
        <v>0</v>
      </c>
      <c r="P75" s="17">
        <f t="shared" si="11"/>
        <v>-1</v>
      </c>
      <c r="Q75" s="17">
        <f t="shared" si="12"/>
        <v>0</v>
      </c>
      <c r="R75" s="17">
        <f t="shared" si="13"/>
        <v>0</v>
      </c>
      <c r="S75" s="17">
        <f t="shared" si="14"/>
        <v>1</v>
      </c>
      <c r="T75" s="17">
        <f t="shared" si="15"/>
        <v>1</v>
      </c>
    </row>
  </sheetData>
  <autoFilter xmlns:etc="http://www.wps.cn/officeDocument/2017/etCustomData" ref="A5:T33" etc:filterBottomFollowUsedRange="0">
    <extLst/>
  </autoFilter>
  <mergeCells count="2">
    <mergeCell ref="A4:T4"/>
    <mergeCell ref="A38:T38"/>
  </mergeCells>
  <conditionalFormatting sqref="J17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27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51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52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58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6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9:F15">
    <cfRule type="colorScale" priority="5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43:F49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68:F75"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9:I16">
    <cfRule type="colorScale" priority="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6:J8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9:J10">
    <cfRule type="colorScale" priority="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8:J19">
    <cfRule type="colorScale" priority="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26:J27">
    <cfRule type="colorScale" priority="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43:J44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60:J61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68:J69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41:P4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68:P75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6:T33">
    <cfRule type="colorScale" priority="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9:P15;P17:P26;P28:P33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7:G19;G20:H25">
    <cfRule type="colorScale" priority="5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6;F28:F33">
    <cfRule type="colorScale" priority="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26;L28:L31;L33">
    <cfRule type="colorScale" priority="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26;N28:N32"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40:T67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44;P47:P49;P51:P57;P59:P60;P62:P67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47;I50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51;G54:H54;G57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60;F62:F67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60;L62:L65;L67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60;N62:N66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68;S69:T69;S72:T72;S75:T75;Q70:Q71;Q73:Q74"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69;L72;L75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69;N72;N75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6:V59"/>
  <sheetViews>
    <sheetView topLeftCell="H39" workbookViewId="0">
      <selection activeCell="W16" sqref="W16"/>
    </sheetView>
  </sheetViews>
  <sheetFormatPr defaultColWidth="9.14285714285714" defaultRowHeight="15"/>
  <cols>
    <col min="8" max="8" width="14.7142857142857" customWidth="1"/>
    <col min="9" max="9" width="24.7142857142857" customWidth="1"/>
    <col min="10" max="10" width="17.4285714285714" customWidth="1"/>
    <col min="11" max="11" width="10.8571428571429" customWidth="1"/>
    <col min="12" max="12" width="13.5714285714286" customWidth="1"/>
    <col min="22" max="22" width="33" customWidth="1"/>
  </cols>
  <sheetData>
    <row r="6" spans="22:22">
      <c r="V6" s="6"/>
    </row>
    <row r="7" spans="8:17">
      <c r="H7" s="1" t="s">
        <v>55</v>
      </c>
      <c r="I7" s="4" t="s">
        <v>56</v>
      </c>
      <c r="J7" s="4" t="s">
        <v>57</v>
      </c>
      <c r="K7" s="4" t="s">
        <v>58</v>
      </c>
      <c r="L7" s="4" t="s">
        <v>59</v>
      </c>
      <c r="M7" s="4" t="s">
        <v>60</v>
      </c>
      <c r="N7" s="4" t="s">
        <v>61</v>
      </c>
      <c r="O7" s="4" t="s">
        <v>62</v>
      </c>
      <c r="P7" s="4" t="s">
        <v>63</v>
      </c>
      <c r="Q7" s="4" t="s">
        <v>64</v>
      </c>
    </row>
    <row r="8" spans="8:22">
      <c r="H8" s="2">
        <v>1</v>
      </c>
      <c r="I8" s="3" t="s">
        <v>65</v>
      </c>
      <c r="J8" s="3" t="s">
        <v>66</v>
      </c>
      <c r="K8" s="5">
        <v>100</v>
      </c>
      <c r="L8" s="5">
        <v>150</v>
      </c>
      <c r="M8" s="5">
        <v>200</v>
      </c>
      <c r="N8" s="5" t="str">
        <f t="shared" ref="N8:Q8" si="0">"-"</f>
        <v>-</v>
      </c>
      <c r="O8" s="5" t="str">
        <f t="shared" si="0"/>
        <v>-</v>
      </c>
      <c r="P8" s="5" t="str">
        <f t="shared" si="0"/>
        <v>-</v>
      </c>
      <c r="Q8" s="5" t="str">
        <f t="shared" si="0"/>
        <v>-</v>
      </c>
      <c r="V8" s="6"/>
    </row>
    <row r="9" spans="8:17">
      <c r="H9" s="2">
        <v>1</v>
      </c>
      <c r="I9" s="3" t="s">
        <v>65</v>
      </c>
      <c r="J9" s="3" t="s">
        <v>67</v>
      </c>
      <c r="K9" s="5">
        <v>5</v>
      </c>
      <c r="L9" s="5">
        <v>10</v>
      </c>
      <c r="M9" s="5">
        <v>20</v>
      </c>
      <c r="N9" s="5" t="str">
        <f t="shared" ref="N9:N14" si="1">"-"</f>
        <v>-</v>
      </c>
      <c r="O9" s="5" t="str">
        <f t="shared" ref="O9:Q9" si="2">"-"</f>
        <v>-</v>
      </c>
      <c r="P9" s="5" t="str">
        <f t="shared" si="2"/>
        <v>-</v>
      </c>
      <c r="Q9" s="5" t="str">
        <f t="shared" si="2"/>
        <v>-</v>
      </c>
    </row>
    <row r="10" spans="8:22">
      <c r="H10" s="2">
        <v>1</v>
      </c>
      <c r="I10" s="3" t="s">
        <v>65</v>
      </c>
      <c r="J10" s="3" t="s">
        <v>68</v>
      </c>
      <c r="K10" s="5">
        <v>0.1</v>
      </c>
      <c r="L10" s="5">
        <v>0.2</v>
      </c>
      <c r="M10" s="5">
        <v>0.3</v>
      </c>
      <c r="N10" s="5" t="str">
        <f t="shared" si="1"/>
        <v>-</v>
      </c>
      <c r="O10" s="5" t="str">
        <f t="shared" ref="O10:Q10" si="3">"-"</f>
        <v>-</v>
      </c>
      <c r="P10" s="5" t="str">
        <f t="shared" si="3"/>
        <v>-</v>
      </c>
      <c r="Q10" s="5" t="str">
        <f t="shared" si="3"/>
        <v>-</v>
      </c>
      <c r="V10" s="6"/>
    </row>
    <row r="11" spans="8:17">
      <c r="H11" s="2">
        <v>1</v>
      </c>
      <c r="I11" s="3" t="s">
        <v>65</v>
      </c>
      <c r="J11" s="3" t="s">
        <v>69</v>
      </c>
      <c r="K11" s="5">
        <v>0.2</v>
      </c>
      <c r="L11" s="5">
        <v>0.6</v>
      </c>
      <c r="M11" s="5">
        <v>0.8</v>
      </c>
      <c r="N11" s="5" t="str">
        <f t="shared" si="1"/>
        <v>-</v>
      </c>
      <c r="O11" s="5" t="str">
        <f t="shared" ref="O11:Q11" si="4">"-"</f>
        <v>-</v>
      </c>
      <c r="P11" s="5" t="str">
        <f t="shared" si="4"/>
        <v>-</v>
      </c>
      <c r="Q11" s="5" t="str">
        <f t="shared" si="4"/>
        <v>-</v>
      </c>
    </row>
    <row r="12" ht="20" customHeight="1" spans="8:22">
      <c r="H12" s="2">
        <v>1</v>
      </c>
      <c r="I12" s="3" t="s">
        <v>70</v>
      </c>
      <c r="J12" s="3" t="s">
        <v>71</v>
      </c>
      <c r="K12" s="5">
        <v>50</v>
      </c>
      <c r="L12" s="5">
        <v>100</v>
      </c>
      <c r="M12" s="5">
        <v>150</v>
      </c>
      <c r="N12" s="5" t="str">
        <f t="shared" si="1"/>
        <v>-</v>
      </c>
      <c r="O12" s="5" t="str">
        <f t="shared" ref="O12:Q12" si="5">"-"</f>
        <v>-</v>
      </c>
      <c r="P12" s="5" t="str">
        <f t="shared" si="5"/>
        <v>-</v>
      </c>
      <c r="Q12" s="5" t="str">
        <f t="shared" si="5"/>
        <v>-</v>
      </c>
      <c r="V12" s="6"/>
    </row>
    <row r="13" spans="8:17">
      <c r="H13" s="2">
        <v>1</v>
      </c>
      <c r="I13" s="3" t="s">
        <v>70</v>
      </c>
      <c r="J13" s="3" t="s">
        <v>72</v>
      </c>
      <c r="K13" s="5">
        <v>5</v>
      </c>
      <c r="L13" s="5">
        <v>10</v>
      </c>
      <c r="M13" s="5">
        <v>15</v>
      </c>
      <c r="N13" s="5" t="str">
        <f t="shared" si="1"/>
        <v>-</v>
      </c>
      <c r="O13" s="5" t="str">
        <f t="shared" ref="O13:O19" si="6">"-"</f>
        <v>-</v>
      </c>
      <c r="P13" s="5" t="str">
        <f t="shared" ref="P13:P19" si="7">"-"</f>
        <v>-</v>
      </c>
      <c r="Q13" s="5" t="str">
        <f>"-"</f>
        <v>-</v>
      </c>
    </row>
    <row r="14" spans="8:22">
      <c r="H14" s="2">
        <v>1</v>
      </c>
      <c r="I14" s="3" t="s">
        <v>70</v>
      </c>
      <c r="J14" s="3" t="s">
        <v>73</v>
      </c>
      <c r="K14" s="5" t="b">
        <v>1</v>
      </c>
      <c r="L14" s="5" t="b">
        <v>0</v>
      </c>
      <c r="M14" s="5" t="str">
        <f>"-"</f>
        <v>-</v>
      </c>
      <c r="N14" s="5" t="str">
        <f t="shared" si="1"/>
        <v>-</v>
      </c>
      <c r="O14" s="5" t="str">
        <f t="shared" si="6"/>
        <v>-</v>
      </c>
      <c r="P14" s="5" t="str">
        <f t="shared" si="7"/>
        <v>-</v>
      </c>
      <c r="Q14" s="5" t="str">
        <f>"-"</f>
        <v>-</v>
      </c>
      <c r="V14" s="7"/>
    </row>
    <row r="15" spans="8:17">
      <c r="H15" s="2">
        <v>1</v>
      </c>
      <c r="I15" s="3" t="s">
        <v>26</v>
      </c>
      <c r="J15" s="3" t="s">
        <v>74</v>
      </c>
      <c r="K15" s="5">
        <v>2</v>
      </c>
      <c r="L15" s="5">
        <v>5</v>
      </c>
      <c r="M15" s="5">
        <v>10</v>
      </c>
      <c r="N15" s="5">
        <v>11</v>
      </c>
      <c r="O15" s="5">
        <v>15</v>
      </c>
      <c r="P15" s="5">
        <v>20</v>
      </c>
      <c r="Q15" s="5" t="str">
        <f t="shared" ref="Q15:Q21" si="8">"-"</f>
        <v>-</v>
      </c>
    </row>
    <row r="16" spans="8:22">
      <c r="H16" s="2">
        <v>1</v>
      </c>
      <c r="I16" s="3" t="s">
        <v>27</v>
      </c>
      <c r="J16" s="3" t="s">
        <v>74</v>
      </c>
      <c r="K16" s="5">
        <v>2</v>
      </c>
      <c r="L16" s="5">
        <v>5</v>
      </c>
      <c r="M16" s="5">
        <v>10</v>
      </c>
      <c r="N16" s="5">
        <v>11</v>
      </c>
      <c r="O16" s="5">
        <v>15</v>
      </c>
      <c r="P16" s="5">
        <v>20</v>
      </c>
      <c r="Q16" s="5" t="str">
        <f t="shared" si="8"/>
        <v>-</v>
      </c>
      <c r="V16" s="6"/>
    </row>
    <row r="17" spans="8:17">
      <c r="H17" s="2">
        <v>1</v>
      </c>
      <c r="I17" s="3" t="s">
        <v>27</v>
      </c>
      <c r="J17" s="3" t="s">
        <v>75</v>
      </c>
      <c r="K17" s="5">
        <v>2</v>
      </c>
      <c r="L17" s="5">
        <v>5</v>
      </c>
      <c r="M17" s="5">
        <v>10</v>
      </c>
      <c r="N17" s="5">
        <v>11</v>
      </c>
      <c r="O17" s="5">
        <v>15</v>
      </c>
      <c r="P17" s="5">
        <v>20</v>
      </c>
      <c r="Q17" s="5" t="str">
        <f t="shared" si="8"/>
        <v>-</v>
      </c>
    </row>
    <row r="18" spans="8:22">
      <c r="H18" s="2">
        <v>1</v>
      </c>
      <c r="I18" s="3" t="s">
        <v>27</v>
      </c>
      <c r="J18" s="3" t="s">
        <v>76</v>
      </c>
      <c r="K18" s="5">
        <v>0.01</v>
      </c>
      <c r="L18" s="5">
        <v>0.05</v>
      </c>
      <c r="M18" s="5">
        <v>0.1</v>
      </c>
      <c r="N18" s="5" t="str">
        <f t="shared" ref="N18:N21" si="9">"-"</f>
        <v>-</v>
      </c>
      <c r="O18" s="5" t="str">
        <f t="shared" si="6"/>
        <v>-</v>
      </c>
      <c r="P18" s="5" t="str">
        <f t="shared" si="7"/>
        <v>-</v>
      </c>
      <c r="Q18" s="5" t="str">
        <f t="shared" si="8"/>
        <v>-</v>
      </c>
      <c r="V18" s="6"/>
    </row>
    <row r="19" spans="8:17">
      <c r="H19" s="2">
        <v>1</v>
      </c>
      <c r="I19" s="3" t="s">
        <v>28</v>
      </c>
      <c r="J19" s="3" t="s">
        <v>74</v>
      </c>
      <c r="K19" s="5">
        <v>2</v>
      </c>
      <c r="L19" s="5">
        <v>3</v>
      </c>
      <c r="M19" s="5" t="str">
        <f>"-"</f>
        <v>-</v>
      </c>
      <c r="N19" s="5" t="str">
        <f t="shared" si="9"/>
        <v>-</v>
      </c>
      <c r="O19" s="5" t="str">
        <f t="shared" si="6"/>
        <v>-</v>
      </c>
      <c r="P19" s="5" t="str">
        <f t="shared" si="7"/>
        <v>-</v>
      </c>
      <c r="Q19" s="5" t="str">
        <f t="shared" si="8"/>
        <v>-</v>
      </c>
    </row>
    <row r="20" spans="8:22">
      <c r="H20" s="2">
        <v>1</v>
      </c>
      <c r="I20" s="3" t="s">
        <v>28</v>
      </c>
      <c r="J20" s="3" t="s">
        <v>77</v>
      </c>
      <c r="K20" s="5">
        <v>100</v>
      </c>
      <c r="L20" s="5">
        <v>500</v>
      </c>
      <c r="M20" s="5">
        <v>1000</v>
      </c>
      <c r="N20" s="5">
        <v>2000</v>
      </c>
      <c r="O20" s="5"/>
      <c r="P20" s="5"/>
      <c r="Q20" s="5" t="str">
        <f t="shared" si="8"/>
        <v>-</v>
      </c>
      <c r="V20" s="6"/>
    </row>
    <row r="21" spans="8:17">
      <c r="H21" s="2">
        <v>1</v>
      </c>
      <c r="I21" s="3" t="s">
        <v>29</v>
      </c>
      <c r="J21" s="3" t="s">
        <v>78</v>
      </c>
      <c r="K21" s="5">
        <v>0.01</v>
      </c>
      <c r="L21" s="5">
        <v>0.05</v>
      </c>
      <c r="M21" s="5">
        <v>0.1</v>
      </c>
      <c r="N21" s="5" t="str">
        <f t="shared" si="9"/>
        <v>-</v>
      </c>
      <c r="O21" s="5" t="str">
        <f t="shared" ref="O21:O31" si="10">"-"</f>
        <v>-</v>
      </c>
      <c r="P21" s="5" t="str">
        <f t="shared" ref="P21:P31" si="11">"-"</f>
        <v>-</v>
      </c>
      <c r="Q21" s="5" t="str">
        <f t="shared" si="8"/>
        <v>-</v>
      </c>
    </row>
    <row r="22" spans="8:22">
      <c r="H22" s="2">
        <v>1</v>
      </c>
      <c r="I22" s="3" t="s">
        <v>79</v>
      </c>
      <c r="J22" s="3" t="s">
        <v>80</v>
      </c>
      <c r="K22" s="5">
        <v>0</v>
      </c>
      <c r="L22" s="5">
        <v>0.01</v>
      </c>
      <c r="M22" s="5">
        <v>0.025</v>
      </c>
      <c r="N22" s="5">
        <v>0.05</v>
      </c>
      <c r="O22" s="5" t="str">
        <f t="shared" si="10"/>
        <v>-</v>
      </c>
      <c r="P22" s="5" t="str">
        <f t="shared" si="11"/>
        <v>-</v>
      </c>
      <c r="Q22" s="5" t="str">
        <f t="shared" ref="Q22:Q28" si="12">"-"</f>
        <v>-</v>
      </c>
      <c r="V22" s="7"/>
    </row>
    <row r="23" spans="8:17">
      <c r="H23" s="3">
        <v>1</v>
      </c>
      <c r="I23" s="3" t="s">
        <v>81</v>
      </c>
      <c r="J23" s="3" t="s">
        <v>80</v>
      </c>
      <c r="K23" s="5">
        <v>0</v>
      </c>
      <c r="L23" s="5">
        <v>0.01</v>
      </c>
      <c r="M23" s="5">
        <v>0.05</v>
      </c>
      <c r="N23" s="5">
        <v>0.1</v>
      </c>
      <c r="O23" s="5">
        <v>0.15</v>
      </c>
      <c r="P23" s="5" t="str">
        <f t="shared" si="11"/>
        <v>-</v>
      </c>
      <c r="Q23" s="5" t="str">
        <f t="shared" si="12"/>
        <v>-</v>
      </c>
    </row>
    <row r="24" spans="8:17">
      <c r="H24" s="3">
        <v>2</v>
      </c>
      <c r="I24" s="3" t="s">
        <v>65</v>
      </c>
      <c r="J24" s="3" t="s">
        <v>66</v>
      </c>
      <c r="K24" s="4">
        <v>100</v>
      </c>
      <c r="L24" s="5">
        <v>150</v>
      </c>
      <c r="M24" s="5">
        <v>200</v>
      </c>
      <c r="N24" s="5" t="str">
        <f t="shared" ref="N24:N31" si="13">"-"</f>
        <v>-</v>
      </c>
      <c r="O24" s="5" t="str">
        <f t="shared" si="10"/>
        <v>-</v>
      </c>
      <c r="P24" s="3" t="str">
        <f t="shared" si="11"/>
        <v>-</v>
      </c>
      <c r="Q24" s="5" t="str">
        <f t="shared" si="12"/>
        <v>-</v>
      </c>
    </row>
    <row r="25" spans="8:17">
      <c r="H25" s="3">
        <v>2</v>
      </c>
      <c r="I25" s="3" t="s">
        <v>65</v>
      </c>
      <c r="J25" s="3" t="s">
        <v>67</v>
      </c>
      <c r="K25" s="5">
        <v>5</v>
      </c>
      <c r="L25" s="5">
        <v>10</v>
      </c>
      <c r="M25" s="4">
        <v>20</v>
      </c>
      <c r="N25" s="5" t="str">
        <f t="shared" si="13"/>
        <v>-</v>
      </c>
      <c r="O25" s="5" t="str">
        <f t="shared" si="10"/>
        <v>-</v>
      </c>
      <c r="P25" s="3" t="str">
        <f t="shared" si="11"/>
        <v>-</v>
      </c>
      <c r="Q25" s="5" t="str">
        <f t="shared" si="12"/>
        <v>-</v>
      </c>
    </row>
    <row r="26" spans="8:17">
      <c r="H26" s="3">
        <v>2</v>
      </c>
      <c r="I26" s="3" t="s">
        <v>65</v>
      </c>
      <c r="J26" s="3" t="s">
        <v>68</v>
      </c>
      <c r="K26" s="5">
        <v>0.1</v>
      </c>
      <c r="L26" s="4">
        <v>0.2</v>
      </c>
      <c r="M26" s="5">
        <v>0.3</v>
      </c>
      <c r="N26" s="5" t="str">
        <f t="shared" si="13"/>
        <v>-</v>
      </c>
      <c r="O26" s="5" t="str">
        <f t="shared" si="10"/>
        <v>-</v>
      </c>
      <c r="P26" s="3" t="str">
        <f t="shared" si="11"/>
        <v>-</v>
      </c>
      <c r="Q26" s="5" t="str">
        <f t="shared" si="12"/>
        <v>-</v>
      </c>
    </row>
    <row r="27" spans="8:17">
      <c r="H27" s="3">
        <v>2</v>
      </c>
      <c r="I27" s="3" t="s">
        <v>65</v>
      </c>
      <c r="J27" s="3" t="s">
        <v>69</v>
      </c>
      <c r="K27" s="5">
        <v>0.2</v>
      </c>
      <c r="L27" s="4">
        <v>0.6</v>
      </c>
      <c r="M27" s="5">
        <v>0.8</v>
      </c>
      <c r="N27" s="5" t="str">
        <f t="shared" si="13"/>
        <v>-</v>
      </c>
      <c r="O27" s="5" t="str">
        <f t="shared" si="10"/>
        <v>-</v>
      </c>
      <c r="P27" s="3" t="str">
        <f t="shared" si="11"/>
        <v>-</v>
      </c>
      <c r="Q27" s="5" t="str">
        <f t="shared" si="12"/>
        <v>-</v>
      </c>
    </row>
    <row r="28" spans="8:17">
      <c r="H28" s="3">
        <v>2</v>
      </c>
      <c r="I28" s="3" t="s">
        <v>82</v>
      </c>
      <c r="J28" s="3" t="s">
        <v>77</v>
      </c>
      <c r="K28" s="4">
        <v>1000</v>
      </c>
      <c r="L28" s="5">
        <v>2000</v>
      </c>
      <c r="M28" s="5">
        <v>3000</v>
      </c>
      <c r="N28" s="5" t="str">
        <f t="shared" si="13"/>
        <v>-</v>
      </c>
      <c r="O28" s="5" t="str">
        <f t="shared" si="10"/>
        <v>-</v>
      </c>
      <c r="P28" s="5" t="str">
        <f t="shared" si="11"/>
        <v>-</v>
      </c>
      <c r="Q28" s="5" t="str">
        <f t="shared" si="12"/>
        <v>-</v>
      </c>
    </row>
    <row r="29" spans="8:17">
      <c r="H29" s="3">
        <v>2</v>
      </c>
      <c r="I29" s="3" t="s">
        <v>82</v>
      </c>
      <c r="J29" s="3" t="s">
        <v>83</v>
      </c>
      <c r="K29" s="4" t="s">
        <v>84</v>
      </c>
      <c r="L29" s="5" t="s">
        <v>85</v>
      </c>
      <c r="M29" s="5" t="str">
        <f>"-"</f>
        <v>-</v>
      </c>
      <c r="N29" s="5" t="str">
        <f t="shared" si="13"/>
        <v>-</v>
      </c>
      <c r="O29" s="5" t="str">
        <f t="shared" si="10"/>
        <v>-</v>
      </c>
      <c r="P29" s="5" t="str">
        <f t="shared" si="11"/>
        <v>-</v>
      </c>
      <c r="Q29" s="5" t="str">
        <f t="shared" ref="Q29:Q36" si="14">"-"</f>
        <v>-</v>
      </c>
    </row>
    <row r="30" spans="8:17">
      <c r="H30" s="3">
        <v>2</v>
      </c>
      <c r="I30" s="3" t="s">
        <v>82</v>
      </c>
      <c r="J30" s="3" t="s">
        <v>86</v>
      </c>
      <c r="K30" s="5" t="s">
        <v>87</v>
      </c>
      <c r="L30" s="4" t="s">
        <v>88</v>
      </c>
      <c r="M30" s="5" t="s">
        <v>89</v>
      </c>
      <c r="N30" s="5" t="str">
        <f t="shared" si="13"/>
        <v>-</v>
      </c>
      <c r="O30" s="5" t="str">
        <f t="shared" si="10"/>
        <v>-</v>
      </c>
      <c r="P30" s="5" t="str">
        <f t="shared" si="11"/>
        <v>-</v>
      </c>
      <c r="Q30" s="5" t="str">
        <f t="shared" si="14"/>
        <v>-</v>
      </c>
    </row>
    <row r="31" spans="8:17">
      <c r="H31" s="3">
        <v>2</v>
      </c>
      <c r="I31" s="3" t="s">
        <v>82</v>
      </c>
      <c r="J31" s="3" t="s">
        <v>90</v>
      </c>
      <c r="K31" s="4" t="s">
        <v>91</v>
      </c>
      <c r="L31" s="5" t="s">
        <v>89</v>
      </c>
      <c r="M31" s="5" t="s">
        <v>92</v>
      </c>
      <c r="N31" s="5" t="str">
        <f t="shared" si="13"/>
        <v>-</v>
      </c>
      <c r="O31" s="5" t="str">
        <f t="shared" si="10"/>
        <v>-</v>
      </c>
      <c r="P31" s="5" t="str">
        <f t="shared" si="11"/>
        <v>-</v>
      </c>
      <c r="Q31" s="5" t="str">
        <f t="shared" si="14"/>
        <v>-</v>
      </c>
    </row>
    <row r="32" spans="8:17">
      <c r="H32" s="3">
        <v>2</v>
      </c>
      <c r="I32" s="3" t="s">
        <v>26</v>
      </c>
      <c r="J32" s="3" t="s">
        <v>74</v>
      </c>
      <c r="K32" s="5">
        <v>2</v>
      </c>
      <c r="L32" s="5">
        <v>5</v>
      </c>
      <c r="M32" s="5">
        <v>10</v>
      </c>
      <c r="N32" s="5">
        <v>11</v>
      </c>
      <c r="O32" s="5">
        <v>15</v>
      </c>
      <c r="P32" s="4">
        <v>20</v>
      </c>
      <c r="Q32" s="5" t="str">
        <f t="shared" si="14"/>
        <v>-</v>
      </c>
    </row>
    <row r="33" spans="8:17">
      <c r="H33" s="3">
        <v>2</v>
      </c>
      <c r="I33" s="3" t="s">
        <v>27</v>
      </c>
      <c r="J33" s="3" t="s">
        <v>74</v>
      </c>
      <c r="K33" s="5">
        <v>2</v>
      </c>
      <c r="L33" s="5">
        <v>5</v>
      </c>
      <c r="M33" s="5">
        <v>10</v>
      </c>
      <c r="N33" s="5">
        <v>11</v>
      </c>
      <c r="O33" s="5">
        <v>15</v>
      </c>
      <c r="P33" s="4">
        <v>20</v>
      </c>
      <c r="Q33" s="5" t="str">
        <f t="shared" si="14"/>
        <v>-</v>
      </c>
    </row>
    <row r="34" spans="8:17">
      <c r="H34" s="3">
        <v>2</v>
      </c>
      <c r="I34" s="3" t="s">
        <v>27</v>
      </c>
      <c r="J34" s="3" t="s">
        <v>75</v>
      </c>
      <c r="K34" s="5">
        <v>2</v>
      </c>
      <c r="L34" s="5">
        <v>5</v>
      </c>
      <c r="M34" s="5">
        <v>10</v>
      </c>
      <c r="N34" s="4">
        <v>11</v>
      </c>
      <c r="O34" s="5">
        <v>15</v>
      </c>
      <c r="P34" s="5">
        <v>20</v>
      </c>
      <c r="Q34" s="5" t="str">
        <f t="shared" si="14"/>
        <v>-</v>
      </c>
    </row>
    <row r="35" spans="8:17">
      <c r="H35" s="3">
        <v>2</v>
      </c>
      <c r="I35" s="3" t="s">
        <v>27</v>
      </c>
      <c r="J35" s="3" t="s">
        <v>76</v>
      </c>
      <c r="K35" s="4">
        <v>0.01</v>
      </c>
      <c r="L35" s="5">
        <v>0.05</v>
      </c>
      <c r="M35" s="5">
        <v>0.1</v>
      </c>
      <c r="N35" s="5" t="str">
        <f t="shared" ref="N35:P35" si="15">"-"</f>
        <v>-</v>
      </c>
      <c r="O35" s="5" t="str">
        <f t="shared" si="15"/>
        <v>-</v>
      </c>
      <c r="P35" s="5" t="str">
        <f t="shared" si="15"/>
        <v>-</v>
      </c>
      <c r="Q35" s="5" t="str">
        <f t="shared" si="14"/>
        <v>-</v>
      </c>
    </row>
    <row r="36" spans="8:17">
      <c r="H36" s="3">
        <v>2</v>
      </c>
      <c r="I36" s="3" t="s">
        <v>28</v>
      </c>
      <c r="J36" s="3" t="s">
        <v>74</v>
      </c>
      <c r="K36" s="4">
        <v>2</v>
      </c>
      <c r="L36" s="5">
        <v>3</v>
      </c>
      <c r="M36" s="5" t="str">
        <f>"-"</f>
        <v>-</v>
      </c>
      <c r="N36" s="5" t="str">
        <f t="shared" ref="N36:P36" si="16">"-"</f>
        <v>-</v>
      </c>
      <c r="O36" s="5" t="str">
        <f t="shared" si="16"/>
        <v>-</v>
      </c>
      <c r="P36" s="5" t="str">
        <f t="shared" si="16"/>
        <v>-</v>
      </c>
      <c r="Q36" s="5" t="str">
        <f t="shared" si="14"/>
        <v>-</v>
      </c>
    </row>
    <row r="37" spans="8:17">
      <c r="H37" s="3">
        <v>2</v>
      </c>
      <c r="I37" s="3" t="s">
        <v>28</v>
      </c>
      <c r="J37" s="3" t="s">
        <v>77</v>
      </c>
      <c r="K37" s="5">
        <v>100</v>
      </c>
      <c r="L37" s="5">
        <v>500</v>
      </c>
      <c r="M37" s="5">
        <v>1000</v>
      </c>
      <c r="N37" s="4">
        <v>2000</v>
      </c>
      <c r="O37" s="5" t="str">
        <f t="shared" ref="O37:O43" si="17">"-"</f>
        <v>-</v>
      </c>
      <c r="P37" s="5" t="str">
        <f t="shared" ref="P37:P43" si="18">"-"</f>
        <v>-</v>
      </c>
      <c r="Q37" s="5" t="str">
        <f t="shared" ref="Q37:Q43" si="19">"-"</f>
        <v>-</v>
      </c>
    </row>
    <row r="38" spans="8:17">
      <c r="H38" s="3">
        <v>2</v>
      </c>
      <c r="I38" s="3" t="s">
        <v>28</v>
      </c>
      <c r="J38" s="3" t="s">
        <v>93</v>
      </c>
      <c r="K38" s="5">
        <v>10</v>
      </c>
      <c r="L38" s="5">
        <v>20</v>
      </c>
      <c r="M38" s="4">
        <v>30</v>
      </c>
      <c r="N38" s="5" t="str">
        <f>"-"</f>
        <v>-</v>
      </c>
      <c r="O38" s="5" t="str">
        <f t="shared" si="17"/>
        <v>-</v>
      </c>
      <c r="P38" s="5" t="str">
        <f t="shared" si="18"/>
        <v>-</v>
      </c>
      <c r="Q38" s="5" t="str">
        <f t="shared" si="19"/>
        <v>-</v>
      </c>
    </row>
    <row r="39" spans="8:17">
      <c r="H39" s="3">
        <v>2</v>
      </c>
      <c r="I39" s="3" t="s">
        <v>29</v>
      </c>
      <c r="J39" s="3" t="s">
        <v>78</v>
      </c>
      <c r="K39" s="5">
        <v>0.01</v>
      </c>
      <c r="L39" s="4">
        <v>0.05</v>
      </c>
      <c r="M39" s="5">
        <v>0.1</v>
      </c>
      <c r="N39" s="5" t="str">
        <f t="shared" ref="N39:Q39" si="20">"-"</f>
        <v>-</v>
      </c>
      <c r="O39" s="5" t="str">
        <f t="shared" si="20"/>
        <v>-</v>
      </c>
      <c r="P39" s="5" t="str">
        <f t="shared" si="20"/>
        <v>-</v>
      </c>
      <c r="Q39" s="5" t="str">
        <f t="shared" si="20"/>
        <v>-</v>
      </c>
    </row>
    <row r="40" spans="8:17">
      <c r="H40" s="3">
        <v>2</v>
      </c>
      <c r="I40" s="3" t="s">
        <v>79</v>
      </c>
      <c r="J40" s="3" t="s">
        <v>80</v>
      </c>
      <c r="K40" s="5">
        <v>0</v>
      </c>
      <c r="L40" s="5">
        <v>0.01</v>
      </c>
      <c r="M40" s="4">
        <v>0.025</v>
      </c>
      <c r="N40" s="5">
        <v>0.05</v>
      </c>
      <c r="O40" s="5" t="str">
        <f t="shared" si="17"/>
        <v>-</v>
      </c>
      <c r="P40" s="5" t="str">
        <f t="shared" si="18"/>
        <v>-</v>
      </c>
      <c r="Q40" s="5" t="str">
        <f t="shared" si="19"/>
        <v>-</v>
      </c>
    </row>
    <row r="41" spans="8:17">
      <c r="H41" s="3">
        <v>2</v>
      </c>
      <c r="I41" s="3" t="s">
        <v>79</v>
      </c>
      <c r="J41" s="3" t="s">
        <v>71</v>
      </c>
      <c r="K41" s="4">
        <v>50</v>
      </c>
      <c r="L41" s="5">
        <v>100</v>
      </c>
      <c r="M41" s="5">
        <v>150</v>
      </c>
      <c r="N41" s="5">
        <v>200</v>
      </c>
      <c r="O41" s="5" t="str">
        <f t="shared" si="17"/>
        <v>-</v>
      </c>
      <c r="P41" s="5" t="str">
        <f t="shared" si="18"/>
        <v>-</v>
      </c>
      <c r="Q41" s="5" t="str">
        <f t="shared" si="19"/>
        <v>-</v>
      </c>
    </row>
    <row r="42" spans="8:17">
      <c r="H42" s="3">
        <v>2</v>
      </c>
      <c r="I42" s="3" t="s">
        <v>79</v>
      </c>
      <c r="J42" s="3" t="s">
        <v>72</v>
      </c>
      <c r="K42" s="5">
        <v>58</v>
      </c>
      <c r="L42" s="4">
        <v>50</v>
      </c>
      <c r="M42" s="5">
        <v>40</v>
      </c>
      <c r="N42" s="5">
        <v>30</v>
      </c>
      <c r="O42" s="5" t="str">
        <f t="shared" si="17"/>
        <v>-</v>
      </c>
      <c r="P42" s="5" t="str">
        <f t="shared" si="18"/>
        <v>-</v>
      </c>
      <c r="Q42" s="5" t="str">
        <f t="shared" si="19"/>
        <v>-</v>
      </c>
    </row>
    <row r="43" spans="8:17">
      <c r="H43" s="3">
        <v>2</v>
      </c>
      <c r="I43" s="3" t="s">
        <v>79</v>
      </c>
      <c r="J43" s="3" t="s">
        <v>73</v>
      </c>
      <c r="K43" s="4" t="b">
        <v>1</v>
      </c>
      <c r="L43" s="5" t="b">
        <v>0</v>
      </c>
      <c r="M43" s="5" t="str">
        <f>"-"</f>
        <v>-</v>
      </c>
      <c r="N43" s="5" t="str">
        <f>"-"</f>
        <v>-</v>
      </c>
      <c r="O43" s="5" t="str">
        <f t="shared" si="17"/>
        <v>-</v>
      </c>
      <c r="P43" s="5" t="str">
        <f t="shared" si="18"/>
        <v>-</v>
      </c>
      <c r="Q43" s="5" t="str">
        <f t="shared" si="19"/>
        <v>-</v>
      </c>
    </row>
    <row r="44" spans="8:17">
      <c r="H44" s="3">
        <v>2</v>
      </c>
      <c r="I44" s="3" t="s">
        <v>81</v>
      </c>
      <c r="J44" s="3" t="s">
        <v>80</v>
      </c>
      <c r="K44" s="5">
        <v>0.01</v>
      </c>
      <c r="L44" s="5">
        <v>0.05</v>
      </c>
      <c r="M44" s="5">
        <v>0.1</v>
      </c>
      <c r="N44" s="5">
        <v>0.15</v>
      </c>
      <c r="O44" s="3">
        <v>0.2</v>
      </c>
      <c r="P44" s="5">
        <v>0.3</v>
      </c>
      <c r="Q44" s="3">
        <v>0.4</v>
      </c>
    </row>
    <row r="45" spans="8:17">
      <c r="H45" s="3">
        <v>3</v>
      </c>
      <c r="I45" s="3" t="s">
        <v>65</v>
      </c>
      <c r="J45" s="3" t="s">
        <v>66</v>
      </c>
      <c r="K45" s="3">
        <v>5</v>
      </c>
      <c r="L45" s="3">
        <v>7</v>
      </c>
      <c r="M45" s="4">
        <v>10</v>
      </c>
      <c r="N45" s="5" t="str">
        <f t="shared" ref="N45:Q45" si="21">"-"</f>
        <v>-</v>
      </c>
      <c r="O45" s="5" t="str">
        <f t="shared" si="21"/>
        <v>-</v>
      </c>
      <c r="P45" s="5" t="str">
        <f t="shared" si="21"/>
        <v>-</v>
      </c>
      <c r="Q45" s="5" t="str">
        <f t="shared" si="21"/>
        <v>-</v>
      </c>
    </row>
    <row r="46" spans="8:17">
      <c r="H46" s="3">
        <v>3</v>
      </c>
      <c r="I46" s="3" t="s">
        <v>65</v>
      </c>
      <c r="J46" s="3" t="s">
        <v>67</v>
      </c>
      <c r="K46" s="3">
        <v>10</v>
      </c>
      <c r="L46" s="4">
        <v>50</v>
      </c>
      <c r="M46" s="3">
        <v>100</v>
      </c>
      <c r="N46" s="5" t="str">
        <f t="shared" ref="N46:Q46" si="22">"-"</f>
        <v>-</v>
      </c>
      <c r="O46" s="5" t="str">
        <f t="shared" si="22"/>
        <v>-</v>
      </c>
      <c r="P46" s="5" t="str">
        <f t="shared" si="22"/>
        <v>-</v>
      </c>
      <c r="Q46" s="5" t="str">
        <f t="shared" si="22"/>
        <v>-</v>
      </c>
    </row>
    <row r="47" spans="8:17">
      <c r="H47" s="3">
        <v>3</v>
      </c>
      <c r="I47" s="3" t="s">
        <v>65</v>
      </c>
      <c r="J47" s="3" t="s">
        <v>68</v>
      </c>
      <c r="K47" s="3">
        <v>0.01</v>
      </c>
      <c r="L47" s="4">
        <v>0.05</v>
      </c>
      <c r="M47" s="3">
        <v>0.1</v>
      </c>
      <c r="N47" s="5" t="str">
        <f t="shared" ref="N47:Q47" si="23">"-"</f>
        <v>-</v>
      </c>
      <c r="O47" s="5" t="str">
        <f t="shared" si="23"/>
        <v>-</v>
      </c>
      <c r="P47" s="5" t="str">
        <f t="shared" si="23"/>
        <v>-</v>
      </c>
      <c r="Q47" s="5" t="str">
        <f t="shared" si="23"/>
        <v>-</v>
      </c>
    </row>
    <row r="48" spans="8:17">
      <c r="H48" s="3">
        <v>3</v>
      </c>
      <c r="I48" s="3" t="s">
        <v>65</v>
      </c>
      <c r="J48" s="3" t="s">
        <v>69</v>
      </c>
      <c r="K48" s="3">
        <v>0.3</v>
      </c>
      <c r="L48" s="3">
        <v>0.6</v>
      </c>
      <c r="M48" s="4">
        <v>0.9</v>
      </c>
      <c r="N48" s="5" t="str">
        <f t="shared" ref="N48:Q48" si="24">"-"</f>
        <v>-</v>
      </c>
      <c r="O48" s="5" t="str">
        <f t="shared" si="24"/>
        <v>-</v>
      </c>
      <c r="P48" s="5" t="str">
        <f t="shared" si="24"/>
        <v>-</v>
      </c>
      <c r="Q48" s="5" t="str">
        <f t="shared" si="24"/>
        <v>-</v>
      </c>
    </row>
    <row r="49" spans="8:17">
      <c r="H49" s="3">
        <v>3</v>
      </c>
      <c r="I49" s="3" t="s">
        <v>70</v>
      </c>
      <c r="J49" s="3" t="s">
        <v>71</v>
      </c>
      <c r="K49" s="3">
        <v>50</v>
      </c>
      <c r="L49" s="4">
        <v>100</v>
      </c>
      <c r="M49" s="3">
        <v>200</v>
      </c>
      <c r="N49" s="5" t="str">
        <f t="shared" ref="N49:Q49" si="25">"-"</f>
        <v>-</v>
      </c>
      <c r="O49" s="5" t="str">
        <f t="shared" si="25"/>
        <v>-</v>
      </c>
      <c r="P49" s="5" t="str">
        <f t="shared" si="25"/>
        <v>-</v>
      </c>
      <c r="Q49" s="5" t="str">
        <f t="shared" si="25"/>
        <v>-</v>
      </c>
    </row>
    <row r="50" spans="8:17">
      <c r="H50" s="3">
        <v>3</v>
      </c>
      <c r="I50" s="3" t="s">
        <v>70</v>
      </c>
      <c r="J50" s="3" t="s">
        <v>94</v>
      </c>
      <c r="K50" s="4" t="s">
        <v>95</v>
      </c>
      <c r="L50" s="3">
        <v>10</v>
      </c>
      <c r="M50" s="3">
        <v>20</v>
      </c>
      <c r="N50" s="5" t="str">
        <f t="shared" ref="N50:Q50" si="26">"-"</f>
        <v>-</v>
      </c>
      <c r="O50" s="5" t="str">
        <f t="shared" si="26"/>
        <v>-</v>
      </c>
      <c r="P50" s="5" t="str">
        <f t="shared" si="26"/>
        <v>-</v>
      </c>
      <c r="Q50" s="5" t="str">
        <f t="shared" si="26"/>
        <v>-</v>
      </c>
    </row>
    <row r="51" spans="8:17">
      <c r="H51" s="3">
        <v>3</v>
      </c>
      <c r="I51" s="3" t="s">
        <v>70</v>
      </c>
      <c r="J51" s="3" t="s">
        <v>96</v>
      </c>
      <c r="K51" s="4">
        <v>2</v>
      </c>
      <c r="L51" s="3">
        <v>5</v>
      </c>
      <c r="M51" s="3">
        <v>10</v>
      </c>
      <c r="N51" s="5" t="str">
        <f t="shared" ref="N51:Q51" si="27">"-"</f>
        <v>-</v>
      </c>
      <c r="O51" s="5" t="str">
        <f t="shared" si="27"/>
        <v>-</v>
      </c>
      <c r="P51" s="5" t="str">
        <f t="shared" si="27"/>
        <v>-</v>
      </c>
      <c r="Q51" s="5" t="str">
        <f t="shared" si="27"/>
        <v>-</v>
      </c>
    </row>
    <row r="52" spans="8:17">
      <c r="H52" s="3">
        <v>3</v>
      </c>
      <c r="I52" s="3" t="s">
        <v>70</v>
      </c>
      <c r="J52" s="3" t="s">
        <v>72</v>
      </c>
      <c r="K52" s="3" t="s">
        <v>97</v>
      </c>
      <c r="L52" s="3" t="s">
        <v>98</v>
      </c>
      <c r="M52" s="4" t="s">
        <v>95</v>
      </c>
      <c r="N52" s="5" t="str">
        <f t="shared" ref="N52:Q52" si="28">"-"</f>
        <v>-</v>
      </c>
      <c r="O52" s="5" t="str">
        <f t="shared" si="28"/>
        <v>-</v>
      </c>
      <c r="P52" s="5" t="str">
        <f t="shared" si="28"/>
        <v>-</v>
      </c>
      <c r="Q52" s="5" t="str">
        <f t="shared" si="28"/>
        <v>-</v>
      </c>
    </row>
    <row r="53" spans="8:17">
      <c r="H53" s="3">
        <v>3</v>
      </c>
      <c r="I53" s="3" t="s">
        <v>70</v>
      </c>
      <c r="J53" s="3" t="s">
        <v>99</v>
      </c>
      <c r="K53" s="4">
        <v>1</v>
      </c>
      <c r="L53" s="3">
        <v>2</v>
      </c>
      <c r="M53" s="3">
        <v>4</v>
      </c>
      <c r="N53" s="5" t="str">
        <f t="shared" ref="N53:Q53" si="29">"-"</f>
        <v>-</v>
      </c>
      <c r="O53" s="5" t="str">
        <f t="shared" si="29"/>
        <v>-</v>
      </c>
      <c r="P53" s="5" t="str">
        <f t="shared" si="29"/>
        <v>-</v>
      </c>
      <c r="Q53" s="5" t="str">
        <f t="shared" si="29"/>
        <v>-</v>
      </c>
    </row>
    <row r="54" spans="8:17">
      <c r="H54" s="3">
        <v>3</v>
      </c>
      <c r="I54" s="3" t="s">
        <v>26</v>
      </c>
      <c r="J54" s="3" t="s">
        <v>74</v>
      </c>
      <c r="K54" s="3">
        <v>2</v>
      </c>
      <c r="L54" s="3">
        <v>3</v>
      </c>
      <c r="M54" s="3">
        <v>5</v>
      </c>
      <c r="N54" s="3">
        <v>10</v>
      </c>
      <c r="O54" s="4">
        <v>15</v>
      </c>
      <c r="P54" s="3">
        <v>20</v>
      </c>
      <c r="Q54" s="3">
        <v>50</v>
      </c>
    </row>
    <row r="55" spans="8:17">
      <c r="H55" s="3">
        <v>3</v>
      </c>
      <c r="I55" s="3" t="s">
        <v>27</v>
      </c>
      <c r="J55" s="3" t="s">
        <v>74</v>
      </c>
      <c r="K55" s="3">
        <v>2</v>
      </c>
      <c r="L55" s="3">
        <v>3</v>
      </c>
      <c r="M55" s="4">
        <v>5</v>
      </c>
      <c r="N55" s="3">
        <v>10</v>
      </c>
      <c r="O55" s="3">
        <v>15</v>
      </c>
      <c r="P55" s="3">
        <v>20</v>
      </c>
      <c r="Q55" s="3">
        <v>50</v>
      </c>
    </row>
    <row r="56" spans="8:17">
      <c r="H56" s="3">
        <v>3</v>
      </c>
      <c r="I56" s="3" t="s">
        <v>28</v>
      </c>
      <c r="J56" s="3" t="s">
        <v>74</v>
      </c>
      <c r="K56" s="3">
        <v>2</v>
      </c>
      <c r="L56" s="3">
        <v>3</v>
      </c>
      <c r="M56" s="3"/>
      <c r="N56" s="5" t="str">
        <f t="shared" ref="N56:Q56" si="30">"-"</f>
        <v>-</v>
      </c>
      <c r="O56" s="5" t="str">
        <f t="shared" si="30"/>
        <v>-</v>
      </c>
      <c r="P56" s="5" t="str">
        <f t="shared" si="30"/>
        <v>-</v>
      </c>
      <c r="Q56" s="5" t="str">
        <f t="shared" si="30"/>
        <v>-</v>
      </c>
    </row>
    <row r="57" spans="8:17">
      <c r="H57" s="3">
        <v>3</v>
      </c>
      <c r="I57" s="3" t="s">
        <v>29</v>
      </c>
      <c r="J57" s="3" t="s">
        <v>78</v>
      </c>
      <c r="K57" s="4">
        <v>0.001</v>
      </c>
      <c r="L57" s="3">
        <v>0.05</v>
      </c>
      <c r="M57" s="3">
        <v>0.1</v>
      </c>
      <c r="N57" s="5" t="str">
        <f t="shared" ref="N57:Q57" si="31">"-"</f>
        <v>-</v>
      </c>
      <c r="O57" s="5" t="str">
        <f t="shared" si="31"/>
        <v>-</v>
      </c>
      <c r="P57" s="5" t="str">
        <f t="shared" si="31"/>
        <v>-</v>
      </c>
      <c r="Q57" s="5" t="str">
        <f t="shared" si="31"/>
        <v>-</v>
      </c>
    </row>
    <row r="58" spans="8:17">
      <c r="H58" s="3">
        <v>3</v>
      </c>
      <c r="I58" s="3" t="s">
        <v>79</v>
      </c>
      <c r="J58" s="3" t="s">
        <v>80</v>
      </c>
      <c r="K58" s="5">
        <v>0</v>
      </c>
      <c r="L58" s="4">
        <v>0.01</v>
      </c>
      <c r="M58" s="5">
        <v>0.025</v>
      </c>
      <c r="N58" s="5">
        <v>0.05</v>
      </c>
      <c r="O58" s="5" t="str">
        <f t="shared" ref="O58:Q58" si="32">"-"</f>
        <v>-</v>
      </c>
      <c r="P58" s="5" t="str">
        <f t="shared" si="32"/>
        <v>-</v>
      </c>
      <c r="Q58" s="5" t="str">
        <f t="shared" si="32"/>
        <v>-</v>
      </c>
    </row>
    <row r="59" spans="8:17">
      <c r="H59" s="3">
        <v>3</v>
      </c>
      <c r="I59" s="3" t="s">
        <v>81</v>
      </c>
      <c r="J59" s="3" t="s">
        <v>80</v>
      </c>
      <c r="K59" s="3">
        <v>0</v>
      </c>
      <c r="L59" s="4">
        <v>0.1</v>
      </c>
      <c r="M59" s="3">
        <v>0.15</v>
      </c>
      <c r="N59" s="3">
        <v>0.2</v>
      </c>
      <c r="O59" s="3">
        <v>0.25</v>
      </c>
      <c r="P59" s="3">
        <v>0.3</v>
      </c>
      <c r="Q59" s="3">
        <v>0.4</v>
      </c>
    </row>
  </sheetData>
  <autoFilter xmlns:etc="http://www.wps.cn/officeDocument/2017/etCustomData" ref="H7:Q5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COMPILADO</vt:lpstr>
      <vt:lpstr>CÁLCULOS</vt:lpstr>
      <vt:lpstr>GRID SEARCH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Danillo</cp:lastModifiedBy>
  <dcterms:created xsi:type="dcterms:W3CDTF">2025-01-08T02:18:00Z</dcterms:created>
  <dcterms:modified xsi:type="dcterms:W3CDTF">2025-02-05T23:25:02Z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EA25BC62A14E4DE6B3BE70F3F564BAF1_12</vt:lpwstr>
  </property>
  <property fmtid="{D5CDD505-2E9C-101B-9397-08002B2CF9AE}" pid="3" name="KSOProductBuildVer">
    <vt:lpwstr>1046-12.2.0.19805</vt:lpwstr>
  </property>
</Properties>
</file>